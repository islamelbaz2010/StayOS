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QUESTIONS" sheetId="2" state="visible" r:id="rId2"/>
    <sheet xmlns:r="http://schemas.openxmlformats.org/officeDocument/2006/relationships" name="SERVICES" sheetId="3" state="visible" r:id="rId3"/>
    <sheet xmlns:r="http://schemas.openxmlformats.org/officeDocument/2006/relationships" name="PRICING_MATRIX" sheetId="4" state="visible" r:id="rId4"/>
    <sheet xmlns:r="http://schemas.openxmlformats.org/officeDocument/2006/relationships" name="ASSUMPTIONS" sheetId="5" state="visible" r:id="rId5"/>
    <sheet xmlns:r="http://schemas.openxmlformats.org/officeDocument/2006/relationships" name="UNIT_ECONOMICS" sheetId="6" state="visible" r:id="rId6"/>
    <sheet xmlns:r="http://schemas.openxmlformats.org/officeDocument/2006/relationships" name="MONTHLY_MODEL" sheetId="7" state="visible" r:id="rId7"/>
    <sheet xmlns:r="http://schemas.openxmlformats.org/officeDocument/2006/relationships" name="SCENARIOS" sheetId="8" state="visible" r:id="rId8"/>
    <sheet xmlns:r="http://schemas.openxmlformats.org/officeDocument/2006/relationships" name="SERVICE_ROADMAP" sheetId="9" state="visible" r:id="rId9"/>
    <sheet xmlns:r="http://schemas.openxmlformats.org/officeDocument/2006/relationships" name="DECISIONS" sheetId="10" state="visible" r:id="rId10"/>
    <sheet xmlns:r="http://schemas.openxmlformats.org/officeDocument/2006/relationships" name="SOURCE_NOTES" sheetId="11" state="visible" r:id="rId11"/>
  </sheets>
  <definedNames>
    <definedName name="_xlnm._FilterDatabase" localSheetId="0" hidden="1">'START_HERE'!$A$1:$B$10</definedName>
    <definedName name="_xlnm._FilterDatabase" localSheetId="1" hidden="1">'QUESTIONS'!$A$1:$H$29</definedName>
    <definedName name="_xlnm._FilterDatabase" localSheetId="2" hidden="1">'SERVICES'!$A$1:$L$12</definedName>
    <definedName name="_xlnm._FilterDatabase" localSheetId="3" hidden="1">'PRICING_MATRIX'!$A$1:$Q$11</definedName>
    <definedName name="_xlnm._FilterDatabase" localSheetId="4" hidden="1">'ASSUMPTIONS'!$A$1:$H$19</definedName>
    <definedName name="_xlnm._FilterDatabase" localSheetId="5" hidden="1">'UNIT_ECONOMICS'!$A$1:$E$13</definedName>
    <definedName name="_xlnm._FilterDatabase" localSheetId="6" hidden="1">'MONTHLY_MODEL'!$A$1:$M$15</definedName>
    <definedName name="_xlnm._FilterDatabase" localSheetId="7" hidden="1">'SCENARIOS'!$A$1:$J$7</definedName>
    <definedName name="_xlnm._FilterDatabase" localSheetId="8" hidden="1">'SERVICE_ROADMAP'!$A$1:$J$12</definedName>
    <definedName name="_xlnm._FilterDatabase" localSheetId="9" hidden="1">'DECISIONS'!$A$1:$H$13</definedName>
    <definedName name="_xlnm._FilterDatabase" localSheetId="10" hidden="1">'SOURCE_NOTES'!$A$1:$E$10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EGP&quot;"/>
    <numFmt numFmtId="165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75B5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Contribution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'SCENARIOS'!H3</f>
            </strRef>
          </tx>
          <spPr>
            <a:ln xmlns:a="http://schemas.openxmlformats.org/drawingml/2006/main">
              <a:prstDash val="solid"/>
            </a:ln>
          </spPr>
          <cat>
            <numRef>
              <f>'SCENARIOS'!$A$4:$A$7</f>
            </numRef>
          </cat>
          <val>
            <numRef>
              <f>'SCENARIOS'!$H$4:$H$7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Scenario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EGP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 ht="30" customHeight="1">
      <c r="A1" s="1" t="inlineStr">
        <is>
          <t>STAYOS — FINANCIAL MODEL SYSTEM v1</t>
        </is>
      </c>
    </row>
    <row r="3">
      <c r="A3" s="2" t="inlineStr">
        <is>
          <t>Item</t>
        </is>
      </c>
      <c r="B3" s="2" t="inlineStr">
        <is>
          <t>Value</t>
        </is>
      </c>
    </row>
    <row r="4">
      <c r="A4" s="3" t="inlineStr">
        <is>
          <t>Purpose</t>
        </is>
      </c>
      <c r="B4" s="3" t="inlineStr">
        <is>
          <t>Central financial-control workbook for StayOS. Supports COMMISSION or FIXED_FEE revenue, configurable by service, location, property/service type and customer segment.</t>
        </is>
      </c>
    </row>
    <row r="5">
      <c r="A5" s="3" t="inlineStr">
        <is>
          <t>Core gate</t>
        </is>
      </c>
      <c r="B5" s="3" t="inlineStr">
        <is>
          <t>Protect the core marketplace objective: prove the accommodation loop and reach 10 real completed bookings before V1.1.</t>
        </is>
      </c>
    </row>
    <row r="6">
      <c r="A6" s="3" t="inlineStr">
        <is>
          <t>Current stage</t>
        </is>
      </c>
      <c r="B6" s="3" t="inlineStr">
        <is>
          <t>Core engineering is built and locally validated. Immediate gate: authenticated real transaction smoke test, then deployment and marketplace activation.</t>
        </is>
      </c>
    </row>
    <row r="7">
      <c r="A7" s="3" t="inlineStr">
        <is>
          <t>Mobile</t>
        </is>
      </c>
      <c r="B7" s="3" t="inlineStr">
        <is>
          <t>Native mobile is designed but not implemented. Current scope places native mobile after the Phase 2 gate; web/PWA is sufficient through the first 500 bookings.</t>
        </is>
      </c>
    </row>
    <row r="8">
      <c r="A8" s="3" t="inlineStr">
        <is>
          <t>Existing conflict</t>
        </is>
      </c>
      <c r="B8" s="3" t="inlineStr">
        <is>
          <t>Current documents contain different revenue assumptions. This workbook keeps them configurable rather than silently resolving them.</t>
        </is>
      </c>
    </row>
    <row r="9">
      <c r="A9" s="3" t="inlineStr">
        <is>
          <t>Use order</t>
        </is>
      </c>
      <c r="B9" s="3" t="inlineStr">
        <is>
          <t>DECISIONS → QUESTIONS → SERVICES → PRICING_MATRIX → ASSUMPTIONS → UNIT_ECONOMICS → MONTHLY_MODEL.</t>
        </is>
      </c>
    </row>
    <row r="10">
      <c r="A10" s="3" t="inlineStr">
        <is>
          <t>Control rule</t>
        </is>
      </c>
      <c r="B10" s="3" t="inlineStr">
        <is>
          <t>Every monetized service must use COMMISSION or FIXED_FEE. Multiple pricing rules can coexist by location/type.</t>
        </is>
      </c>
    </row>
  </sheetData>
  <autoFilter ref="A1:B10"/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42" customWidth="1" min="3" max="3"/>
    <col width="40" customWidth="1" min="4" max="4"/>
    <col width="32" customWidth="1" min="5" max="5"/>
    <col width="32" customWidth="1" min="6" max="6"/>
    <col width="28" customWidth="1" min="7" max="7"/>
    <col width="12" customWidth="1" min="8" max="8"/>
  </cols>
  <sheetData>
    <row r="1" ht="30" customHeight="1">
      <c r="A1" s="1" t="inlineStr">
        <is>
          <t>FINANCIAL MODEL — DECISION QUESTIONS</t>
        </is>
      </c>
    </row>
    <row r="3">
      <c r="A3" s="2" t="inlineStr">
        <is>
          <t>ID</t>
        </is>
      </c>
      <c r="B3" s="2" t="inlineStr">
        <is>
          <t>Category</t>
        </is>
      </c>
      <c r="C3" s="2" t="inlineStr">
        <is>
          <t>Question</t>
        </is>
      </c>
      <c r="D3" s="2" t="inlineStr">
        <is>
          <t>Why it matters</t>
        </is>
      </c>
      <c r="E3" s="2" t="inlineStr">
        <is>
          <t>Suggested A</t>
        </is>
      </c>
      <c r="F3" s="2" t="inlineStr">
        <is>
          <t>Suggested B</t>
        </is>
      </c>
      <c r="G3" s="2" t="inlineStr">
        <is>
          <t>Your Decision</t>
        </is>
      </c>
      <c r="H3" s="2" t="inlineStr">
        <is>
          <t>Status</t>
        </is>
      </c>
    </row>
    <row r="4">
      <c r="A4" s="3" t="inlineStr">
        <is>
          <t>Q01</t>
        </is>
      </c>
      <c r="B4" s="3" t="inlineStr">
        <is>
          <t>Core</t>
        </is>
      </c>
      <c r="C4" s="3" t="inlineStr">
        <is>
          <t>Primary monetization for accommodation in Closed Alpha?</t>
        </is>
      </c>
      <c r="D4" s="3" t="inlineStr">
        <is>
          <t>Sets first-transaction economics.</t>
        </is>
      </c>
      <c r="E4" s="3" t="inlineStr">
        <is>
          <t>Commission</t>
        </is>
      </c>
      <c r="F4" s="3" t="inlineStr">
        <is>
          <t>Fixed Fee</t>
        </is>
      </c>
      <c r="G4" s="4" t="inlineStr"/>
      <c r="H4" s="3" t="inlineStr">
        <is>
          <t>OPEN</t>
        </is>
      </c>
    </row>
    <row r="5">
      <c r="A5" s="3" t="inlineStr">
        <is>
          <t>Q02</t>
        </is>
      </c>
      <c r="B5" s="3" t="inlineStr">
        <is>
          <t>Core</t>
        </is>
      </c>
      <c r="C5" s="3" t="inlineStr">
        <is>
          <t>Can each service choose its own monetization method?</t>
        </is>
      </c>
      <c r="D5" s="3" t="inlineStr">
        <is>
          <t>Required for service-level control.</t>
        </is>
      </c>
      <c r="E5" s="3" t="inlineStr">
        <is>
          <t>Yes</t>
        </is>
      </c>
      <c r="F5" s="3" t="inlineStr">
        <is>
          <t>No</t>
        </is>
      </c>
      <c r="G5" s="4" t="inlineStr"/>
      <c r="H5" s="3" t="inlineStr">
        <is>
          <t>OPEN</t>
        </is>
      </c>
    </row>
    <row r="6">
      <c r="A6" s="3" t="inlineStr">
        <is>
          <t>Q03</t>
        </is>
      </c>
      <c r="B6" s="3" t="inlineStr">
        <is>
          <t>Accommodation</t>
        </is>
      </c>
      <c r="C6" s="3" t="inlineStr">
        <is>
          <t>Host commission in Alpha?</t>
        </is>
      </c>
      <c r="D6" s="3" t="inlineStr">
        <is>
          <t>Controls host acquisition.</t>
        </is>
      </c>
      <c r="E6" s="3" t="inlineStr">
        <is>
          <t>0% first 3 bookings → 10%</t>
        </is>
      </c>
      <c r="F6" s="3" t="inlineStr">
        <is>
          <t>0% first 50 hosts → ramp</t>
        </is>
      </c>
      <c r="G6" s="4" t="inlineStr"/>
      <c r="H6" s="3" t="inlineStr">
        <is>
          <t>OPEN</t>
        </is>
      </c>
    </row>
    <row r="7">
      <c r="A7" s="3" t="inlineStr">
        <is>
          <t>Q04</t>
        </is>
      </c>
      <c r="B7" s="3" t="inlineStr">
        <is>
          <t>Accommodation</t>
        </is>
      </c>
      <c r="C7" s="3" t="inlineStr">
        <is>
          <t>Guest fee in Alpha?</t>
        </is>
      </c>
      <c r="D7" s="3" t="inlineStr">
        <is>
          <t>Controls booking friction.</t>
        </is>
      </c>
      <c r="E7" s="3" t="inlineStr">
        <is>
          <t>0% first 10 bookings</t>
        </is>
      </c>
      <c r="F7" s="3" t="inlineStr">
        <is>
          <t>0% first 100 bookings</t>
        </is>
      </c>
      <c r="G7" s="4" t="inlineStr"/>
      <c r="H7" s="3" t="inlineStr">
        <is>
          <t>OPEN</t>
        </is>
      </c>
    </row>
    <row r="8">
      <c r="A8" s="3" t="inlineStr">
        <is>
          <t>Q05</t>
        </is>
      </c>
      <c r="B8" s="3" t="inlineStr">
        <is>
          <t>Accommodation</t>
        </is>
      </c>
      <c r="C8" s="3" t="inlineStr">
        <is>
          <t>Standard guest fee after Alpha?</t>
        </is>
      </c>
      <c r="D8" s="3" t="inlineStr">
        <is>
          <t>Core take rate.</t>
        </is>
      </c>
      <c r="E8" s="3" t="inlineStr">
        <is>
          <t>4%</t>
        </is>
      </c>
      <c r="F8" s="3" t="inlineStr">
        <is>
          <t>3–5% configurable</t>
        </is>
      </c>
      <c r="G8" s="4" t="inlineStr"/>
      <c r="H8" s="3" t="inlineStr">
        <is>
          <t>OPEN</t>
        </is>
      </c>
    </row>
    <row r="9">
      <c r="A9" s="3" t="inlineStr">
        <is>
          <t>Q06</t>
        </is>
      </c>
      <c r="B9" s="3" t="inlineStr">
        <is>
          <t>Accommodation</t>
        </is>
      </c>
      <c r="C9" s="3" t="inlineStr">
        <is>
          <t>Cleaning fee ownership?</t>
        </is>
      </c>
      <c r="D9" s="3" t="inlineStr">
        <is>
          <t>Separates pass-through from revenue.</t>
        </is>
      </c>
      <c r="E9" s="3" t="inlineStr">
        <is>
          <t>100% host</t>
        </is>
      </c>
      <c r="F9" s="3" t="inlineStr">
        <is>
          <t>Split/markup</t>
        </is>
      </c>
      <c r="G9" s="4" t="inlineStr"/>
      <c r="H9" s="3" t="inlineStr">
        <is>
          <t>OPEN</t>
        </is>
      </c>
    </row>
    <row r="10">
      <c r="A10" s="3" t="inlineStr">
        <is>
          <t>Q07</t>
        </is>
      </c>
      <c r="B10" s="3" t="inlineStr">
        <is>
          <t>Pricing</t>
        </is>
      </c>
      <c r="C10" s="3" t="inlineStr">
        <is>
          <t>Should pricing vary by location?</t>
        </is>
      </c>
      <c r="D10" s="3" t="inlineStr">
        <is>
          <t>User explicitly requires it.</t>
        </is>
      </c>
      <c r="E10" s="3" t="inlineStr">
        <is>
          <t>Yes</t>
        </is>
      </c>
      <c r="F10" s="3" t="inlineStr">
        <is>
          <t>No</t>
        </is>
      </c>
      <c r="G10" s="4" t="inlineStr"/>
      <c r="H10" s="3" t="inlineStr">
        <is>
          <t>OPEN</t>
        </is>
      </c>
    </row>
    <row r="11">
      <c r="A11" s="3" t="inlineStr">
        <is>
          <t>Q08</t>
        </is>
      </c>
      <c r="B11" s="3" t="inlineStr">
        <is>
          <t>Pricing</t>
        </is>
      </c>
      <c r="C11" s="3" t="inlineStr">
        <is>
          <t>Should pricing vary by property/service type?</t>
        </is>
      </c>
      <c r="D11" s="3" t="inlineStr">
        <is>
          <t>Different economics by segment.</t>
        </is>
      </c>
      <c r="E11" s="3" t="inlineStr">
        <is>
          <t>Yes</t>
        </is>
      </c>
      <c r="F11" s="3" t="inlineStr">
        <is>
          <t>No</t>
        </is>
      </c>
      <c r="G11" s="4" t="inlineStr"/>
      <c r="H11" s="3" t="inlineStr">
        <is>
          <t>OPEN</t>
        </is>
      </c>
    </row>
    <row r="12">
      <c r="A12" s="3" t="inlineStr">
        <is>
          <t>Q09</t>
        </is>
      </c>
      <c r="B12" s="3" t="inlineStr">
        <is>
          <t>B2B</t>
        </is>
      </c>
      <c r="C12" s="3" t="inlineStr">
        <is>
          <t>Different agency rate for portfolio volume?</t>
        </is>
      </c>
      <c r="D12" s="3" t="inlineStr">
        <is>
          <t>Institutional supply may negotiate.</t>
        </is>
      </c>
      <c r="E12" s="3" t="inlineStr">
        <is>
          <t>Yes</t>
        </is>
      </c>
      <c r="F12" s="3" t="inlineStr">
        <is>
          <t>No</t>
        </is>
      </c>
      <c r="G12" s="4" t="inlineStr"/>
      <c r="H12" s="3" t="inlineStr">
        <is>
          <t>OPEN</t>
        </is>
      </c>
    </row>
    <row r="13">
      <c r="A13" s="3" t="inlineStr">
        <is>
          <t>Q10</t>
        </is>
      </c>
      <c r="B13" s="3" t="inlineStr">
        <is>
          <t>Fixed Fee</t>
        </is>
      </c>
      <c r="C13" s="3" t="inlineStr">
        <is>
          <t>Fixed-fee basis?</t>
        </is>
      </c>
      <c r="D13" s="3" t="inlineStr">
        <is>
          <t>Defines unit of charge.</t>
        </is>
      </c>
      <c r="E13" s="3" t="inlineStr">
        <is>
          <t>Per transaction</t>
        </is>
      </c>
      <c r="F13" s="3" t="inlineStr">
        <is>
          <t>Per person/day/package</t>
        </is>
      </c>
      <c r="G13" s="4" t="inlineStr"/>
      <c r="H13" s="3" t="inlineStr">
        <is>
          <t>OPEN</t>
        </is>
      </c>
    </row>
    <row r="14">
      <c r="A14" s="3" t="inlineStr">
        <is>
          <t>Q11</t>
        </is>
      </c>
      <c r="B14" s="3" t="inlineStr">
        <is>
          <t>Pricing</t>
        </is>
      </c>
      <c r="C14" s="3" t="inlineStr">
        <is>
          <t>Allow multiple pricing rules per service?</t>
        </is>
      </c>
      <c r="D14" s="3" t="inlineStr">
        <is>
          <t>Needed for location/type control.</t>
        </is>
      </c>
      <c r="E14" s="3" t="inlineStr">
        <is>
          <t>Yes</t>
        </is>
      </c>
      <c r="F14" s="3" t="inlineStr">
        <is>
          <t>No</t>
        </is>
      </c>
      <c r="G14" s="4" t="inlineStr"/>
      <c r="H14" s="3" t="inlineStr">
        <is>
          <t>OPEN</t>
        </is>
      </c>
    </row>
    <row r="15">
      <c r="A15" s="3" t="inlineStr">
        <is>
          <t>Q12</t>
        </is>
      </c>
      <c r="B15" s="3" t="inlineStr">
        <is>
          <t>Pricing</t>
        </is>
      </c>
      <c r="C15" s="3" t="inlineStr">
        <is>
          <t>Minimum/maximum fee limits?</t>
        </is>
      </c>
      <c r="D15" s="3" t="inlineStr">
        <is>
          <t>Prevents extreme pricing.</t>
        </is>
      </c>
      <c r="E15" s="3" t="inlineStr">
        <is>
          <t>Yes</t>
        </is>
      </c>
      <c r="F15" s="3" t="inlineStr">
        <is>
          <t>No</t>
        </is>
      </c>
      <c r="G15" s="4" t="inlineStr"/>
      <c r="H15" s="3" t="inlineStr">
        <is>
          <t>OPEN</t>
        </is>
      </c>
    </row>
    <row r="16">
      <c r="A16" s="3" t="inlineStr">
        <is>
          <t>Q13</t>
        </is>
      </c>
      <c r="B16" s="3" t="inlineStr">
        <is>
          <t>Payer</t>
        </is>
      </c>
      <c r="C16" s="3" t="inlineStr">
        <is>
          <t>Who pays the service fee?</t>
        </is>
      </c>
      <c r="D16" s="3" t="inlineStr">
        <is>
          <t>Determines UX and margin.</t>
        </is>
      </c>
      <c r="E16" s="3" t="inlineStr">
        <is>
          <t>Provider</t>
        </is>
      </c>
      <c r="F16" s="3" t="inlineStr">
        <is>
          <t>Customer</t>
        </is>
      </c>
      <c r="G16" s="4" t="inlineStr"/>
      <c r="H16" s="3" t="inlineStr">
        <is>
          <t>OPEN</t>
        </is>
      </c>
    </row>
    <row r="17">
      <c r="A17" s="3" t="inlineStr">
        <is>
          <t>Q14</t>
        </is>
      </c>
      <c r="B17" s="3" t="inlineStr">
        <is>
          <t>Blended</t>
        </is>
      </c>
      <c r="C17" s="3" t="inlineStr">
        <is>
          <t>Can a service combine provider commission + customer fee?</t>
        </is>
      </c>
      <c r="D17" s="3" t="inlineStr">
        <is>
          <t>Potential blended take rate.</t>
        </is>
      </c>
      <c r="E17" s="3" t="inlineStr">
        <is>
          <t>Yes</t>
        </is>
      </c>
      <c r="F17" s="3" t="inlineStr">
        <is>
          <t>No</t>
        </is>
      </c>
      <c r="G17" s="4" t="inlineStr"/>
      <c r="H17" s="3" t="inlineStr">
        <is>
          <t>OPEN</t>
        </is>
      </c>
    </row>
    <row r="18">
      <c r="A18" s="3" t="inlineStr">
        <is>
          <t>Q15</t>
        </is>
      </c>
      <c r="B18" s="3" t="inlineStr">
        <is>
          <t>Costs</t>
        </is>
      </c>
      <c r="C18" s="3" t="inlineStr">
        <is>
          <t>Payment processing cost?</t>
        </is>
      </c>
      <c r="D18" s="3" t="inlineStr">
        <is>
          <t>Needed for contribution margin.</t>
        </is>
      </c>
      <c r="E18" s="3" t="inlineStr">
        <is>
          <t>Actual provider contract</t>
        </is>
      </c>
      <c r="F18" s="3" t="inlineStr">
        <is>
          <t>Temporary assumption</t>
        </is>
      </c>
      <c r="G18" s="4" t="inlineStr"/>
      <c r="H18" s="3" t="inlineStr">
        <is>
          <t>OPEN</t>
        </is>
      </c>
    </row>
    <row r="19">
      <c r="A19" s="3" t="inlineStr">
        <is>
          <t>Q16</t>
        </is>
      </c>
      <c r="B19" s="3" t="inlineStr">
        <is>
          <t>Costs</t>
        </is>
      </c>
      <c r="C19" s="3" t="inlineStr">
        <is>
          <t>Host acquisition cost per activated host/listing?</t>
        </is>
      </c>
      <c r="D19" s="3" t="inlineStr">
        <is>
          <t>Needed for supply economics.</t>
        </is>
      </c>
      <c r="E19" s="3" t="inlineStr">
        <is>
          <t>Enter actual</t>
        </is>
      </c>
      <c r="F19" s="3" t="inlineStr">
        <is>
          <t>Model founder time</t>
        </is>
      </c>
      <c r="G19" s="4" t="inlineStr"/>
      <c r="H19" s="3" t="inlineStr">
        <is>
          <t>OPEN</t>
        </is>
      </c>
    </row>
    <row r="20">
      <c r="A20" s="3" t="inlineStr">
        <is>
          <t>Q17</t>
        </is>
      </c>
      <c r="B20" s="3" t="inlineStr">
        <is>
          <t>Costs</t>
        </is>
      </c>
      <c r="C20" s="3" t="inlineStr">
        <is>
          <t>Guest CAC?</t>
        </is>
      </c>
      <c r="D20" s="3" t="inlineStr">
        <is>
          <t>Needed for payback.</t>
        </is>
      </c>
      <c r="E20" s="3" t="inlineStr">
        <is>
          <t>Near-zero organic Alpha</t>
        </is>
      </c>
      <c r="F20" s="3" t="inlineStr">
        <is>
          <t>Paid CAC assumption</t>
        </is>
      </c>
      <c r="G20" s="4" t="inlineStr"/>
      <c r="H20" s="3" t="inlineStr">
        <is>
          <t>OPEN</t>
        </is>
      </c>
    </row>
    <row r="21">
      <c r="A21" s="3" t="inlineStr">
        <is>
          <t>Q18</t>
        </is>
      </c>
      <c r="B21" s="3" t="inlineStr">
        <is>
          <t>Operations</t>
        </is>
      </c>
      <c r="C21" s="3" t="inlineStr">
        <is>
          <t>Value manual founder operations per booking?</t>
        </is>
      </c>
      <c r="D21" s="3" t="inlineStr">
        <is>
          <t>Avoids fake margins.</t>
        </is>
      </c>
      <c r="E21" s="3" t="inlineStr">
        <is>
          <t>Track time × value</t>
        </is>
      </c>
      <c r="F21" s="3" t="inlineStr">
        <is>
          <t>Cash-only</t>
        </is>
      </c>
      <c r="G21" s="4" t="inlineStr"/>
      <c r="H21" s="3" t="inlineStr">
        <is>
          <t>OPEN</t>
        </is>
      </c>
    </row>
    <row r="22">
      <c r="A22" s="3" t="inlineStr">
        <is>
          <t>Q19</t>
        </is>
      </c>
      <c r="B22" s="3" t="inlineStr">
        <is>
          <t>Risk</t>
        </is>
      </c>
      <c r="C22" s="3" t="inlineStr">
        <is>
          <t>Refund/chargeback loss rate?</t>
        </is>
      </c>
      <c r="D22" s="3" t="inlineStr">
        <is>
          <t>Needed for net revenue.</t>
        </is>
      </c>
      <c r="E22" s="3" t="inlineStr">
        <is>
          <t>Enter %</t>
        </is>
      </c>
      <c r="F22" s="3" t="inlineStr">
        <is>
          <t>0% until data</t>
        </is>
      </c>
      <c r="G22" s="4" t="inlineStr"/>
      <c r="H22" s="3" t="inlineStr">
        <is>
          <t>OPEN</t>
        </is>
      </c>
    </row>
    <row r="23">
      <c r="A23" s="3" t="inlineStr">
        <is>
          <t>Q20</t>
        </is>
      </c>
      <c r="B23" s="3" t="inlineStr">
        <is>
          <t>Tax</t>
        </is>
      </c>
      <c r="C23" s="3" t="inlineStr">
        <is>
          <t>Tax/VAT treatment per revenue stream?</t>
        </is>
      </c>
      <c r="D23" s="3" t="inlineStr">
        <is>
          <t>Revenue is not always net cash.</t>
        </is>
      </c>
      <c r="E23" s="3" t="inlineStr">
        <is>
          <t>Enter by service</t>
        </is>
      </c>
      <c r="F23" s="3" t="inlineStr">
        <is>
          <t>Accountant/legal</t>
        </is>
      </c>
      <c r="G23" s="4" t="inlineStr"/>
      <c r="H23" s="3" t="inlineStr">
        <is>
          <t>OPEN</t>
        </is>
      </c>
    </row>
    <row r="24">
      <c r="A24" s="3" t="inlineStr">
        <is>
          <t>Q21</t>
        </is>
      </c>
      <c r="B24" s="3" t="inlineStr">
        <is>
          <t>Scale</t>
        </is>
      </c>
      <c r="C24" s="3" t="inlineStr">
        <is>
          <t>Target bookings/month for Stage 1?</t>
        </is>
      </c>
      <c r="D24" s="3" t="inlineStr">
        <is>
          <t>Drives break-even.</t>
        </is>
      </c>
      <c r="E24" s="3" t="inlineStr">
        <is>
          <t>100</t>
        </is>
      </c>
      <c r="F24" s="3" t="inlineStr">
        <is>
          <t>Enter target</t>
        </is>
      </c>
      <c r="G24" s="4" t="inlineStr"/>
      <c r="H24" s="3" t="inlineStr">
        <is>
          <t>OPEN</t>
        </is>
      </c>
    </row>
    <row r="25">
      <c r="A25" s="3" t="inlineStr">
        <is>
          <t>Q22</t>
        </is>
      </c>
      <c r="B25" s="3" t="inlineStr">
        <is>
          <t>Scale</t>
        </is>
      </c>
      <c r="C25" s="3" t="inlineStr">
        <is>
          <t>Monthly fixed burn?</t>
        </is>
      </c>
      <c r="D25" s="3" t="inlineStr">
        <is>
          <t>Drives runway/break-even.</t>
        </is>
      </c>
      <c r="E25" s="3" t="inlineStr">
        <is>
          <t>Enter actual</t>
        </is>
      </c>
      <c r="F25" s="3" t="inlineStr">
        <is>
          <t>Use existing range</t>
        </is>
      </c>
      <c r="G25" s="4" t="inlineStr"/>
      <c r="H25" s="3" t="inlineStr">
        <is>
          <t>OPEN</t>
        </is>
      </c>
    </row>
    <row r="26">
      <c r="A26" s="3" t="inlineStr">
        <is>
          <t>Q23</t>
        </is>
      </c>
      <c r="B26" s="3" t="inlineStr">
        <is>
          <t>Mobile</t>
        </is>
      </c>
      <c r="C26" s="3" t="inlineStr">
        <is>
          <t>When should native mobile begin?</t>
        </is>
      </c>
      <c r="D26" s="3" t="inlineStr">
        <is>
          <t>Avoid premature build.</t>
        </is>
      </c>
      <c r="E26" s="3" t="inlineStr">
        <is>
          <t>After 500 bookings / Phase 2</t>
        </is>
      </c>
      <c r="F26" s="3" t="inlineStr">
        <is>
          <t>Earlier only with evidence</t>
        </is>
      </c>
      <c r="G26" s="4" t="inlineStr"/>
      <c r="H26" s="3" t="inlineStr">
        <is>
          <t>OPEN</t>
        </is>
      </c>
    </row>
    <row r="27">
      <c r="A27" s="3" t="inlineStr">
        <is>
          <t>Q24</t>
        </is>
      </c>
      <c r="B27" s="3" t="inlineStr">
        <is>
          <t>Add-ons</t>
        </is>
      </c>
      <c r="C27" s="3" t="inlineStr">
        <is>
          <t>When should paid complementary services begin?</t>
        </is>
      </c>
      <c r="D27" s="3" t="inlineStr">
        <is>
          <t>Protects core focus.</t>
        </is>
      </c>
      <c r="E27" s="3" t="inlineStr">
        <is>
          <t>After 10 bookings</t>
        </is>
      </c>
      <c r="F27" s="3" t="inlineStr">
        <is>
          <t>After 50–100</t>
        </is>
      </c>
      <c r="G27" s="4" t="inlineStr"/>
      <c r="H27" s="3" t="inlineStr">
        <is>
          <t>OPEN</t>
        </is>
      </c>
    </row>
    <row r="28">
      <c r="A28" s="3" t="inlineStr">
        <is>
          <t>Q25</t>
        </is>
      </c>
      <c r="B28" s="3" t="inlineStr">
        <is>
          <t>Reciprocal Hosting</t>
        </is>
      </c>
      <c r="C28" s="3" t="inlineStr">
        <is>
          <t>Enter core now?</t>
        </is>
      </c>
      <c r="D28" s="3" t="inlineStr">
        <is>
          <t>Separate high-liquidity-risk marketplace.</t>
        </is>
      </c>
      <c r="E28" s="3" t="inlineStr">
        <is>
          <t>No — discovery only</t>
        </is>
      </c>
      <c r="F28" s="3" t="inlineStr">
        <is>
          <t>Separate experiment later</t>
        </is>
      </c>
      <c r="G28" s="4" t="inlineStr"/>
      <c r="H28" s="3" t="inlineStr">
        <is>
          <t>OPEN</t>
        </is>
      </c>
    </row>
    <row r="29">
      <c r="A29" s="3" t="inlineStr">
        <is>
          <t>Q26</t>
        </is>
      </c>
      <c r="B29" s="3" t="inlineStr">
        <is>
          <t>B2B SaaS</t>
        </is>
      </c>
      <c r="C29" s="3" t="inlineStr">
        <is>
          <t>Include SaaS billing now?</t>
        </is>
      </c>
      <c r="D29" s="3" t="inlineStr">
        <is>
          <t>Current decision is proposed/deferred.</t>
        </is>
      </c>
      <c r="E29" s="3" t="inlineStr">
        <is>
          <t>No</t>
        </is>
      </c>
      <c r="F29" s="3" t="inlineStr">
        <is>
          <t>Pilot now</t>
        </is>
      </c>
      <c r="G29" s="4" t="inlineStr"/>
      <c r="H29" s="3" t="inlineStr">
        <is>
          <t>OPEN</t>
        </is>
      </c>
    </row>
  </sheetData>
  <autoFilter ref="A1:H29"/>
  <mergeCells count="1">
    <mergeCell ref="A1:H1"/>
  </mergeCells>
  <dataValidations count="1">
    <dataValidation sqref="H4:H29" showDropDown="0" showInputMessage="0" showErrorMessage="0" allowBlank="1" type="list">
      <formula1>"OPEN,DECIDED,DEFERRED"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2" customWidth="1" min="3" max="3"/>
    <col width="20" customWidth="1" min="4" max="4"/>
    <col width="20" customWidth="1" min="5" max="5"/>
    <col width="24" customWidth="1" min="6" max="6"/>
    <col width="28" customWidth="1" min="7" max="7"/>
    <col width="20" customWidth="1" min="8" max="8"/>
    <col width="18" customWidth="1" min="9" max="9"/>
    <col width="18" customWidth="1" min="10" max="10"/>
    <col width="45" customWidth="1" min="11" max="11"/>
    <col width="34" customWidth="1" min="12" max="12"/>
  </cols>
  <sheetData>
    <row r="1" ht="30" customHeight="1">
      <c r="A1" s="1" t="inlineStr">
        <is>
          <t>STAYOS SERVICE REGISTER</t>
        </is>
      </c>
    </row>
    <row r="3">
      <c r="A3" s="2" t="inlineStr">
        <is>
          <t>ID</t>
        </is>
      </c>
      <c r="B3" s="2" t="inlineStr">
        <is>
          <t>Service</t>
        </is>
      </c>
      <c r="C3" s="2" t="inlineStr">
        <is>
          <t>Category</t>
        </is>
      </c>
      <c r="D3" s="2" t="inlineStr">
        <is>
          <t>State</t>
        </is>
      </c>
      <c r="E3" s="2" t="inlineStr">
        <is>
          <t>Role</t>
        </is>
      </c>
      <c r="F3" s="2" t="inlineStr">
        <is>
          <t>Earliest Phase</t>
        </is>
      </c>
      <c r="G3" s="2" t="inlineStr">
        <is>
          <t>Revenue Options</t>
        </is>
      </c>
      <c r="H3" s="2" t="inlineStr">
        <is>
          <t>Suggested</t>
        </is>
      </c>
      <c r="I3" s="2" t="inlineStr">
        <is>
          <t>Your Model</t>
        </is>
      </c>
      <c r="J3" s="2" t="inlineStr">
        <is>
          <t>Location Sensitive</t>
        </is>
      </c>
      <c r="K3" s="2" t="inlineStr">
        <is>
          <t>Notes</t>
        </is>
      </c>
      <c r="L3" s="2" t="inlineStr">
        <is>
          <t>Evidence</t>
        </is>
      </c>
    </row>
    <row r="4">
      <c r="A4" s="3" t="inlineStr">
        <is>
          <t>S01</t>
        </is>
      </c>
      <c r="B4" s="3" t="inlineStr">
        <is>
          <t>Accommodation Booking</t>
        </is>
      </c>
      <c r="C4" s="3" t="inlineStr">
        <is>
          <t>Core</t>
        </is>
      </c>
      <c r="D4" s="3" t="inlineStr">
        <is>
          <t>LIVE</t>
        </is>
      </c>
      <c r="E4" s="3" t="inlineStr">
        <is>
          <t>CORE</t>
        </is>
      </c>
      <c r="F4" s="3" t="inlineStr">
        <is>
          <t>Closed Alpha</t>
        </is>
      </c>
      <c r="G4" s="3" t="inlineStr">
        <is>
          <t>COMMISSION / FIXED_FEE</t>
        </is>
      </c>
      <c r="H4" s="3" t="inlineStr">
        <is>
          <t>COMMISSION</t>
        </is>
      </c>
      <c r="I4" s="4" t="inlineStr"/>
      <c r="J4" s="3" t="inlineStr">
        <is>
          <t>YES</t>
        </is>
      </c>
      <c r="K4" s="3" t="inlineStr">
        <is>
          <t>Primary marketplace revenue.</t>
        </is>
      </c>
      <c r="L4" s="3" t="inlineStr">
        <is>
          <t>MVP / DEC-010 / launch model</t>
        </is>
      </c>
    </row>
    <row r="5">
      <c r="A5" s="3" t="inlineStr">
        <is>
          <t>S02</t>
        </is>
      </c>
      <c r="B5" s="3" t="inlineStr">
        <is>
          <t>Cleaning Fee</t>
        </is>
      </c>
      <c r="C5" s="3" t="inlineStr">
        <is>
          <t>Pass-through</t>
        </is>
      </c>
      <c r="D5" s="3" t="inlineStr">
        <is>
          <t>LIVE</t>
        </is>
      </c>
      <c r="E5" s="3" t="inlineStr">
        <is>
          <t>CORE SUPPORT</t>
        </is>
      </c>
      <c r="F5" s="3" t="inlineStr">
        <is>
          <t>Closed Alpha</t>
        </is>
      </c>
      <c r="G5" s="3" t="inlineStr">
        <is>
          <t>PASS_THROUGH</t>
        </is>
      </c>
      <c r="H5" s="3" t="inlineStr">
        <is>
          <t>PASS_THROUGH</t>
        </is>
      </c>
      <c r="I5" s="4" t="inlineStr"/>
      <c r="J5" s="3" t="inlineStr">
        <is>
          <t>YES</t>
        </is>
      </c>
      <c r="K5" s="3" t="inlineStr">
        <is>
          <t>Host-set fee; not automatically StayOS revenue.</t>
        </is>
      </c>
      <c r="L5" s="3" t="inlineStr">
        <is>
          <t>Execution plan</t>
        </is>
      </c>
    </row>
    <row r="6">
      <c r="A6" s="3" t="inlineStr">
        <is>
          <t>S03</t>
        </is>
      </c>
      <c r="B6" s="3" t="inlineStr">
        <is>
          <t>Car Rental</t>
        </is>
      </c>
      <c r="C6" s="3" t="inlineStr">
        <is>
          <t>Mobility</t>
        </is>
      </c>
      <c r="D6" s="3" t="inlineStr">
        <is>
          <t>PROPOSED / STUDY</t>
        </is>
      </c>
      <c r="E6" s="3" t="inlineStr">
        <is>
          <t>ADD-ON</t>
        </is>
      </c>
      <c r="F6" s="3" t="inlineStr">
        <is>
          <t>After 10 bookings</t>
        </is>
      </c>
      <c r="G6" s="3" t="inlineStr">
        <is>
          <t>COMMISSION / FIXED_FEE</t>
        </is>
      </c>
      <c r="H6" s="3" t="inlineStr">
        <is>
          <t>COMMISSION</t>
        </is>
      </c>
      <c r="I6" s="4" t="inlineStr"/>
      <c r="J6" s="3" t="inlineStr">
        <is>
          <t>YES</t>
        </is>
      </c>
      <c r="K6" s="3" t="inlineStr">
        <is>
          <t>Manual test first; no build before core proof.</t>
        </is>
      </c>
      <c r="L6" s="3" t="inlineStr">
        <is>
          <t>User project discussion</t>
        </is>
      </c>
    </row>
    <row r="7">
      <c r="A7" s="3" t="inlineStr">
        <is>
          <t>S04</t>
        </is>
      </c>
      <c r="B7" s="3" t="inlineStr">
        <is>
          <t>Airport Transfer</t>
        </is>
      </c>
      <c r="C7" s="3" t="inlineStr">
        <is>
          <t>Mobility</t>
        </is>
      </c>
      <c r="D7" s="3" t="inlineStr">
        <is>
          <t>PROPOSED / STUDY</t>
        </is>
      </c>
      <c r="E7" s="3" t="inlineStr">
        <is>
          <t>ADD-ON</t>
        </is>
      </c>
      <c r="F7" s="3" t="inlineStr">
        <is>
          <t>After 10 bookings</t>
        </is>
      </c>
      <c r="G7" s="3" t="inlineStr">
        <is>
          <t>COMMISSION / FIXED_FEE</t>
        </is>
      </c>
      <c r="H7" s="3" t="inlineStr">
        <is>
          <t>COMMISSION</t>
        </is>
      </c>
      <c r="I7" s="4" t="inlineStr"/>
      <c r="J7" s="3" t="inlineStr">
        <is>
          <t>YES</t>
        </is>
      </c>
      <c r="K7" s="3" t="inlineStr">
        <is>
          <t>Can be sold manually first.</t>
        </is>
      </c>
      <c r="L7" s="3" t="inlineStr">
        <is>
          <t>User project discussion</t>
        </is>
      </c>
    </row>
    <row r="8">
      <c r="A8" s="3" t="inlineStr">
        <is>
          <t>S05</t>
        </is>
      </c>
      <c r="B8" s="3" t="inlineStr">
        <is>
          <t>Trip Planning / Itinerary</t>
        </is>
      </c>
      <c r="C8" s="3" t="inlineStr">
        <is>
          <t>Travel Service</t>
        </is>
      </c>
      <c r="D8" s="3" t="inlineStr">
        <is>
          <t>PROPOSED / STUDY</t>
        </is>
      </c>
      <c r="E8" s="3" t="inlineStr">
        <is>
          <t>ADD-ON</t>
        </is>
      </c>
      <c r="F8" s="3" t="inlineStr">
        <is>
          <t>After 10 bookings</t>
        </is>
      </c>
      <c r="G8" s="3" t="inlineStr">
        <is>
          <t>FIXED_FEE / COMMISSION</t>
        </is>
      </c>
      <c r="H8" s="3" t="inlineStr">
        <is>
          <t>FIXED_FEE</t>
        </is>
      </c>
      <c r="I8" s="4" t="inlineStr"/>
      <c r="J8" s="3" t="inlineStr">
        <is>
          <t>YES</t>
        </is>
      </c>
      <c r="K8" s="3" t="inlineStr">
        <is>
          <t>Manual service can validate willingness to pay.</t>
        </is>
      </c>
      <c r="L8" s="3" t="inlineStr">
        <is>
          <t>User project discussion</t>
        </is>
      </c>
    </row>
    <row r="9">
      <c r="A9" s="3" t="inlineStr">
        <is>
          <t>S06</t>
        </is>
      </c>
      <c r="B9" s="3" t="inlineStr">
        <is>
          <t>Tours / Experiences</t>
        </is>
      </c>
      <c r="C9" s="3" t="inlineStr">
        <is>
          <t>Travel Service</t>
        </is>
      </c>
      <c r="D9" s="3" t="inlineStr">
        <is>
          <t>PROPOSED / STUDY</t>
        </is>
      </c>
      <c r="E9" s="3" t="inlineStr">
        <is>
          <t>ADD-ON</t>
        </is>
      </c>
      <c r="F9" s="3" t="inlineStr">
        <is>
          <t>After core proof</t>
        </is>
      </c>
      <c r="G9" s="3" t="inlineStr">
        <is>
          <t>COMMISSION / FIXED_FEE</t>
        </is>
      </c>
      <c r="H9" s="3" t="inlineStr">
        <is>
          <t>COMMISSION</t>
        </is>
      </c>
      <c r="I9" s="4" t="inlineStr"/>
      <c r="J9" s="3" t="inlineStr">
        <is>
          <t>YES</t>
        </is>
      </c>
      <c r="K9" s="3" t="inlineStr">
        <is>
          <t>Provider/legal validation required.</t>
        </is>
      </c>
      <c r="L9" s="3" t="inlineStr">
        <is>
          <t>User project discussion</t>
        </is>
      </c>
    </row>
    <row r="10">
      <c r="A10" s="3" t="inlineStr">
        <is>
          <t>S07</t>
        </is>
      </c>
      <c r="B10" s="3" t="inlineStr">
        <is>
          <t>Medical / Special Stay Support</t>
        </is>
      </c>
      <c r="C10" s="3" t="inlineStr">
        <is>
          <t>Specialized</t>
        </is>
      </c>
      <c r="D10" s="3" t="inlineStr">
        <is>
          <t>FUTURE STUDY</t>
        </is>
      </c>
      <c r="E10" s="3" t="inlineStr">
        <is>
          <t>ADD-ON</t>
        </is>
      </c>
      <c r="F10" s="3" t="inlineStr">
        <is>
          <t>Post-PMF</t>
        </is>
      </c>
      <c r="G10" s="3" t="inlineStr">
        <is>
          <t>COMMISSION / FIXED_FEE</t>
        </is>
      </c>
      <c r="H10" s="3" t="inlineStr">
        <is>
          <t>FIXED_FEE</t>
        </is>
      </c>
      <c r="I10" s="4" t="inlineStr"/>
      <c r="J10" s="3" t="inlineStr">
        <is>
          <t>YES</t>
        </is>
      </c>
      <c r="K10" s="3" t="inlineStr">
        <is>
          <t>Only with demand/compliance evidence.</t>
        </is>
      </c>
      <c r="L10" s="3" t="inlineStr">
        <is>
          <t>Prior project discussions</t>
        </is>
      </c>
    </row>
    <row r="11">
      <c r="A11" s="3" t="inlineStr">
        <is>
          <t>S08</t>
        </is>
      </c>
      <c r="B11" s="3" t="inlineStr">
        <is>
          <t>B2B Property Management SaaS</t>
        </is>
      </c>
      <c r="C11" s="3" t="inlineStr">
        <is>
          <t>B2B</t>
        </is>
      </c>
      <c r="D11" s="3" t="inlineStr">
        <is>
          <t>DEFERRED / PROPOSED</t>
        </is>
      </c>
      <c r="E11" s="3" t="inlineStr">
        <is>
          <t>ADD-ON</t>
        </is>
      </c>
      <c r="F11" s="3" t="inlineStr">
        <is>
          <t>Phase 2/3</t>
        </is>
      </c>
      <c r="G11" s="3" t="inlineStr">
        <is>
          <t>FIXED_FEE</t>
        </is>
      </c>
      <c r="H11" s="3" t="inlineStr">
        <is>
          <t>FIXED_FEE</t>
        </is>
      </c>
      <c r="I11" s="4" t="inlineStr"/>
      <c r="J11" s="3" t="inlineStr">
        <is>
          <t>YES</t>
        </is>
      </c>
      <c r="K11" s="3" t="inlineStr">
        <is>
          <t>DEC-010 proposed; MVP defers SaaS billing.</t>
        </is>
      </c>
      <c r="L11" s="3" t="inlineStr">
        <is>
          <t>DEC-010 / MVP scope</t>
        </is>
      </c>
    </row>
    <row r="12">
      <c r="A12" s="3" t="inlineStr">
        <is>
          <t>S09</t>
        </is>
      </c>
      <c r="B12" s="3" t="inlineStr">
        <is>
          <t>Reciprocal Hosting Match</t>
        </is>
      </c>
      <c r="C12" s="3" t="inlineStr">
        <is>
          <t>Hospitality Exchange</t>
        </is>
      </c>
      <c r="D12" s="3" t="inlineStr">
        <is>
          <t>DISCOVERY ONLY</t>
        </is>
      </c>
      <c r="E12" s="3" t="inlineStr">
        <is>
          <t>SEPARATE</t>
        </is>
      </c>
      <c r="F12" s="3" t="inlineStr">
        <is>
          <t>After core + validation</t>
        </is>
      </c>
      <c r="G12" s="3" t="inlineStr">
        <is>
          <t>NONE initially</t>
        </is>
      </c>
      <c r="H12" s="3" t="inlineStr">
        <is>
          <t>NONE</t>
        </is>
      </c>
      <c r="I12" s="4" t="inlineStr"/>
      <c r="J12" s="3" t="inlineStr">
        <is>
          <t>YES</t>
        </is>
      </c>
      <c r="K12" s="3" t="inlineStr">
        <is>
          <t>Strict simultaneous 1:1 reciprocal free hosting.</t>
        </is>
      </c>
      <c r="L12" s="3" t="inlineStr">
        <is>
          <t>Hospitality Exchange idea</t>
        </is>
      </c>
    </row>
  </sheetData>
  <autoFilter ref="A1:L12"/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8" customWidth="1" min="3" max="3"/>
    <col width="14" customWidth="1" min="4" max="4"/>
    <col width="20" customWidth="1" min="5" max="5"/>
    <col width="24" customWidth="1" min="6" max="6"/>
    <col width="24" customWidth="1" min="7" max="7"/>
    <col width="18" customWidth="1" min="8" max="8"/>
    <col width="12" customWidth="1" min="9" max="9"/>
    <col width="14" customWidth="1" min="10" max="10"/>
    <col width="14" customWidth="1" min="11" max="11"/>
    <col width="14" customWidth="1" min="12" max="12"/>
    <col width="18" customWidth="1" min="13" max="13"/>
    <col width="14" customWidth="1" min="14" max="14"/>
    <col width="14" customWidth="1" min="15" max="15"/>
    <col width="12" customWidth="1" min="16" max="16"/>
    <col width="48" customWidth="1" min="17" max="17"/>
  </cols>
  <sheetData>
    <row r="1" ht="30" customHeight="1">
      <c r="A1" s="1" t="inlineStr">
        <is>
          <t>SERVICE PRICING MATRIX — ADMIN CONTROL MODEL</t>
        </is>
      </c>
    </row>
    <row r="3">
      <c r="A3" s="2" t="inlineStr">
        <is>
          <t>Rule</t>
        </is>
      </c>
      <c r="B3" s="2" t="inlineStr">
        <is>
          <t>Service ID</t>
        </is>
      </c>
      <c r="C3" s="2" t="inlineStr">
        <is>
          <t>Service</t>
        </is>
      </c>
      <c r="D3" s="2" t="inlineStr">
        <is>
          <t>Country</t>
        </is>
      </c>
      <c r="E3" s="2" t="inlineStr">
        <is>
          <t>City/Zone</t>
        </is>
      </c>
      <c r="F3" s="2" t="inlineStr">
        <is>
          <t>Property/Service Type</t>
        </is>
      </c>
      <c r="G3" s="2" t="inlineStr">
        <is>
          <t>Segment</t>
        </is>
      </c>
      <c r="H3" s="2" t="inlineStr">
        <is>
          <t>Method</t>
        </is>
      </c>
      <c r="I3" s="2" t="inlineStr">
        <is>
          <t>Rate %</t>
        </is>
      </c>
      <c r="J3" s="2" t="inlineStr">
        <is>
          <t>Fixed EGP</t>
        </is>
      </c>
      <c r="K3" s="2" t="inlineStr">
        <is>
          <t>Min EGP</t>
        </is>
      </c>
      <c r="L3" s="2" t="inlineStr">
        <is>
          <t>Max EGP</t>
        </is>
      </c>
      <c r="M3" s="2" t="inlineStr">
        <is>
          <t>Provider Payout %</t>
        </is>
      </c>
      <c r="N3" s="2" t="inlineStr">
        <is>
          <t>From</t>
        </is>
      </c>
      <c r="O3" s="2" t="inlineStr">
        <is>
          <t>To</t>
        </is>
      </c>
      <c r="P3" s="2" t="inlineStr">
        <is>
          <t>Active</t>
        </is>
      </c>
      <c r="Q3" s="2" t="inlineStr">
        <is>
          <t>Notes</t>
        </is>
      </c>
    </row>
    <row r="4">
      <c r="A4" s="3" t="inlineStr">
        <is>
          <t>R001</t>
        </is>
      </c>
      <c r="B4" s="3" t="inlineStr">
        <is>
          <t>S01</t>
        </is>
      </c>
      <c r="C4" s="3" t="inlineStr">
        <is>
          <t>Accommodation Booking</t>
        </is>
      </c>
      <c r="D4" s="3" t="inlineStr">
        <is>
          <t>Egypt</t>
        </is>
      </c>
      <c r="E4" s="3" t="inlineStr">
        <is>
          <t>New Cairo</t>
        </is>
      </c>
      <c r="F4" s="3" t="inlineStr">
        <is>
          <t>Apartment</t>
        </is>
      </c>
      <c r="G4" s="3" t="inlineStr">
        <is>
          <t>All</t>
        </is>
      </c>
      <c r="H4" s="3" t="inlineStr">
        <is>
          <t>COMMISSION</t>
        </is>
      </c>
      <c r="I4" s="3" t="n">
        <v>10</v>
      </c>
      <c r="J4" s="3" t="inlineStr"/>
      <c r="K4" s="3" t="inlineStr"/>
      <c r="L4" s="3" t="inlineStr"/>
      <c r="M4" s="3" t="n">
        <v>90</v>
      </c>
      <c r="N4" s="3" t="inlineStr"/>
      <c r="O4" s="3" t="inlineStr"/>
      <c r="P4" s="3" t="inlineStr">
        <is>
          <t>YES</t>
        </is>
      </c>
      <c r="Q4" s="3" t="inlineStr">
        <is>
          <t>Baseline example; confirm.</t>
        </is>
      </c>
    </row>
    <row r="5">
      <c r="A5" s="3" t="inlineStr">
        <is>
          <t>R002</t>
        </is>
      </c>
      <c r="B5" s="3" t="inlineStr">
        <is>
          <t>S01</t>
        </is>
      </c>
      <c r="C5" s="3" t="inlineStr">
        <is>
          <t>Accommodation Booking</t>
        </is>
      </c>
      <c r="D5" s="3" t="inlineStr">
        <is>
          <t>Egypt</t>
        </is>
      </c>
      <c r="E5" s="3" t="inlineStr">
        <is>
          <t>New Cairo</t>
        </is>
      </c>
      <c r="F5" s="3" t="inlineStr">
        <is>
          <t>Luxury / Nile-view</t>
        </is>
      </c>
      <c r="G5" s="3" t="inlineStr">
        <is>
          <t>All</t>
        </is>
      </c>
      <c r="H5" s="3" t="inlineStr">
        <is>
          <t>COMMISSION</t>
        </is>
      </c>
      <c r="I5" s="3" t="n">
        <v>12</v>
      </c>
      <c r="J5" s="3" t="inlineStr"/>
      <c r="K5" s="3" t="inlineStr"/>
      <c r="L5" s="3" t="inlineStr"/>
      <c r="M5" s="3" t="n">
        <v>88</v>
      </c>
      <c r="N5" s="3" t="inlineStr"/>
      <c r="O5" s="3" t="inlineStr"/>
      <c r="P5" s="3" t="inlineStr">
        <is>
          <t>YES</t>
        </is>
      </c>
      <c r="Q5" s="3" t="inlineStr">
        <is>
          <t>Illustrative location/type premium example.</t>
        </is>
      </c>
    </row>
    <row r="6">
      <c r="A6" s="3" t="inlineStr">
        <is>
          <t>R003</t>
        </is>
      </c>
      <c r="B6" s="3" t="inlineStr">
        <is>
          <t>S01</t>
        </is>
      </c>
      <c r="C6" s="3" t="inlineStr">
        <is>
          <t>Accommodation Booking</t>
        </is>
      </c>
      <c r="D6" s="3" t="inlineStr">
        <is>
          <t>Egypt</t>
        </is>
      </c>
      <c r="E6" s="3" t="inlineStr">
        <is>
          <t>Maadi</t>
        </is>
      </c>
      <c r="F6" s="3" t="inlineStr">
        <is>
          <t>Apartment</t>
        </is>
      </c>
      <c r="G6" s="3" t="inlineStr">
        <is>
          <t>All</t>
        </is>
      </c>
      <c r="H6" s="3" t="inlineStr">
        <is>
          <t>COMMISSION</t>
        </is>
      </c>
      <c r="I6" s="3" t="n">
        <v>10</v>
      </c>
      <c r="J6" s="3" t="inlineStr"/>
      <c r="K6" s="3" t="inlineStr"/>
      <c r="L6" s="3" t="inlineStr"/>
      <c r="M6" s="3" t="n">
        <v>90</v>
      </c>
      <c r="N6" s="3" t="inlineStr"/>
      <c r="O6" s="3" t="inlineStr"/>
      <c r="P6" s="3" t="inlineStr">
        <is>
          <t>YES</t>
        </is>
      </c>
      <c r="Q6" s="3" t="inlineStr">
        <is>
          <t>Illustrative example.</t>
        </is>
      </c>
    </row>
    <row r="7">
      <c r="A7" s="3" t="inlineStr">
        <is>
          <t>R004</t>
        </is>
      </c>
      <c r="B7" s="3" t="inlineStr">
        <is>
          <t>S01</t>
        </is>
      </c>
      <c r="C7" s="3" t="inlineStr">
        <is>
          <t>Accommodation Booking</t>
        </is>
      </c>
      <c r="D7" s="3" t="inlineStr">
        <is>
          <t>Egypt</t>
        </is>
      </c>
      <c r="E7" s="3" t="inlineStr">
        <is>
          <t>Any</t>
        </is>
      </c>
      <c r="F7" s="3" t="inlineStr">
        <is>
          <t>Alpha host first 3</t>
        </is>
      </c>
      <c r="G7" s="3" t="inlineStr">
        <is>
          <t>Host</t>
        </is>
      </c>
      <c r="H7" s="3" t="inlineStr">
        <is>
          <t>COMMISSION</t>
        </is>
      </c>
      <c r="I7" s="3" t="n">
        <v>0</v>
      </c>
      <c r="J7" s="3" t="inlineStr"/>
      <c r="K7" s="3" t="inlineStr"/>
      <c r="L7" s="3" t="inlineStr"/>
      <c r="M7" s="3" t="n">
        <v>100</v>
      </c>
      <c r="N7" s="3" t="inlineStr"/>
      <c r="O7" s="3" t="inlineStr"/>
      <c r="P7" s="3" t="inlineStr">
        <is>
          <t>NO</t>
        </is>
      </c>
      <c r="Q7" s="3" t="inlineStr">
        <is>
          <t>Candidate alpha rule from GTM review.</t>
        </is>
      </c>
    </row>
    <row r="8">
      <c r="A8" s="3" t="inlineStr">
        <is>
          <t>R005</t>
        </is>
      </c>
      <c r="B8" s="3" t="inlineStr">
        <is>
          <t>S03</t>
        </is>
      </c>
      <c r="C8" s="3" t="inlineStr">
        <is>
          <t>Car Rental</t>
        </is>
      </c>
      <c r="D8" s="3" t="inlineStr">
        <is>
          <t>Egypt</t>
        </is>
      </c>
      <c r="E8" s="3" t="inlineStr">
        <is>
          <t>New Cairo</t>
        </is>
      </c>
      <c r="F8" s="3" t="inlineStr">
        <is>
          <t>Economy</t>
        </is>
      </c>
      <c r="G8" s="3" t="inlineStr">
        <is>
          <t>Guest</t>
        </is>
      </c>
      <c r="H8" s="3" t="inlineStr">
        <is>
          <t>COMMISSION</t>
        </is>
      </c>
      <c r="I8" s="3" t="n">
        <v>12</v>
      </c>
      <c r="J8" s="3" t="inlineStr"/>
      <c r="K8" s="3" t="inlineStr"/>
      <c r="L8" s="3" t="inlineStr"/>
      <c r="M8" s="3" t="n">
        <v>88</v>
      </c>
      <c r="N8" s="3" t="inlineStr"/>
      <c r="O8" s="3" t="inlineStr"/>
      <c r="P8" s="3" t="inlineStr">
        <is>
          <t>NO</t>
        </is>
      </c>
      <c r="Q8" s="3" t="inlineStr">
        <is>
          <t>Suggested test value only.</t>
        </is>
      </c>
    </row>
    <row r="9">
      <c r="A9" s="3" t="inlineStr">
        <is>
          <t>R006</t>
        </is>
      </c>
      <c r="B9" s="3" t="inlineStr">
        <is>
          <t>S04</t>
        </is>
      </c>
      <c r="C9" s="3" t="inlineStr">
        <is>
          <t>Airport Transfer</t>
        </is>
      </c>
      <c r="D9" s="3" t="inlineStr">
        <is>
          <t>Egypt</t>
        </is>
      </c>
      <c r="E9" s="3" t="inlineStr">
        <is>
          <t>Cairo</t>
        </is>
      </c>
      <c r="F9" s="3" t="inlineStr">
        <is>
          <t>Sedan</t>
        </is>
      </c>
      <c r="G9" s="3" t="inlineStr">
        <is>
          <t>Guest</t>
        </is>
      </c>
      <c r="H9" s="3" t="inlineStr">
        <is>
          <t>FIXED_FEE</t>
        </is>
      </c>
      <c r="I9" s="3" t="n">
        <v>0</v>
      </c>
      <c r="J9" s="3" t="n">
        <v>250</v>
      </c>
      <c r="K9" s="3" t="inlineStr"/>
      <c r="L9" s="3" t="inlineStr"/>
      <c r="M9" s="3" t="inlineStr"/>
      <c r="N9" s="3" t="inlineStr"/>
      <c r="O9" s="3" t="inlineStr"/>
      <c r="P9" s="3" t="inlineStr">
        <is>
          <t>NO</t>
        </is>
      </c>
      <c r="Q9" s="3" t="inlineStr">
        <is>
          <t>Suggested test value only.</t>
        </is>
      </c>
    </row>
    <row r="10">
      <c r="A10" s="3" t="inlineStr">
        <is>
          <t>R007</t>
        </is>
      </c>
      <c r="B10" s="3" t="inlineStr">
        <is>
          <t>S05</t>
        </is>
      </c>
      <c r="C10" s="3" t="inlineStr">
        <is>
          <t>Trip Planning / Itinerary</t>
        </is>
      </c>
      <c r="D10" s="3" t="inlineStr">
        <is>
          <t>Egypt</t>
        </is>
      </c>
      <c r="E10" s="3" t="inlineStr">
        <is>
          <t>Any</t>
        </is>
      </c>
      <c r="F10" s="3" t="inlineStr">
        <is>
          <t>Custom</t>
        </is>
      </c>
      <c r="G10" s="3" t="inlineStr">
        <is>
          <t>Guest</t>
        </is>
      </c>
      <c r="H10" s="3" t="inlineStr">
        <is>
          <t>FIXED_FEE</t>
        </is>
      </c>
      <c r="I10" s="3" t="n">
        <v>0</v>
      </c>
      <c r="J10" s="3" t="n">
        <v>750</v>
      </c>
      <c r="K10" s="3" t="inlineStr"/>
      <c r="L10" s="3" t="inlineStr"/>
      <c r="M10" s="3" t="inlineStr"/>
      <c r="N10" s="3" t="inlineStr"/>
      <c r="O10" s="3" t="inlineStr"/>
      <c r="P10" s="3" t="inlineStr">
        <is>
          <t>NO</t>
        </is>
      </c>
      <c r="Q10" s="3" t="inlineStr">
        <is>
          <t>Suggested test value only.</t>
        </is>
      </c>
    </row>
    <row r="11">
      <c r="A11" s="3" t="inlineStr">
        <is>
          <t>R008</t>
        </is>
      </c>
      <c r="B11" s="3" t="inlineStr">
        <is>
          <t>S06</t>
        </is>
      </c>
      <c r="C11" s="3" t="inlineStr">
        <is>
          <t>Tours / Experiences</t>
        </is>
      </c>
      <c r="D11" s="3" t="inlineStr">
        <is>
          <t>Egypt</t>
        </is>
      </c>
      <c r="E11" s="3" t="inlineStr">
        <is>
          <t>Cairo</t>
        </is>
      </c>
      <c r="F11" s="3" t="inlineStr">
        <is>
          <t>Experience</t>
        </is>
      </c>
      <c r="G11" s="3" t="inlineStr">
        <is>
          <t>Guest</t>
        </is>
      </c>
      <c r="H11" s="3" t="inlineStr">
        <is>
          <t>COMMISSION</t>
        </is>
      </c>
      <c r="I11" s="3" t="n">
        <v>15</v>
      </c>
      <c r="J11" s="3" t="inlineStr"/>
      <c r="K11" s="3" t="inlineStr"/>
      <c r="L11" s="3" t="inlineStr"/>
      <c r="M11" s="3" t="n">
        <v>85</v>
      </c>
      <c r="N11" s="3" t="inlineStr"/>
      <c r="O11" s="3" t="inlineStr"/>
      <c r="P11" s="3" t="inlineStr">
        <is>
          <t>NO</t>
        </is>
      </c>
      <c r="Q11" s="3" t="inlineStr">
        <is>
          <t>Suggested test value only.</t>
        </is>
      </c>
    </row>
  </sheetData>
  <autoFilter ref="A1:Q11"/>
  <mergeCells count="1">
    <mergeCell ref="A1:Q1"/>
  </mergeCells>
  <conditionalFormatting sqref="I4:I1000">
    <cfRule type="cellIs" priority="1" operator="greaterThan" dxfId="0">
      <formula>20</formula>
    </cfRule>
  </conditionalFormatting>
  <dataValidations count="2">
    <dataValidation sqref="H4:H1000" showDropDown="0" showInputMessage="0" showErrorMessage="0" allowBlank="1" type="list">
      <formula1>"COMMISSION,FIXED_FEE,PASS_THROUGH,NONE"</formula1>
    </dataValidation>
    <dataValidation sqref="P4:P1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18" customWidth="1" min="4" max="4"/>
    <col width="16" customWidth="1" min="5" max="5"/>
    <col width="18" customWidth="1" min="6" max="6"/>
    <col width="42" customWidth="1" min="7" max="7"/>
    <col width="40" customWidth="1" min="8" max="8"/>
  </cols>
  <sheetData>
    <row r="1" ht="30" customHeight="1">
      <c r="A1" s="1" t="inlineStr">
        <is>
          <t>OPERATING &amp; FINANCIAL ASSUMPTIONS</t>
        </is>
      </c>
    </row>
    <row r="3">
      <c r="A3" s="2" t="inlineStr">
        <is>
          <t>ID</t>
        </is>
      </c>
      <c r="B3" s="2" t="inlineStr">
        <is>
          <t>Metric</t>
        </is>
      </c>
      <c r="C3" s="2" t="inlineStr">
        <is>
          <t>Value</t>
        </is>
      </c>
      <c r="D3" s="2" t="inlineStr">
        <is>
          <t>Unit</t>
        </is>
      </c>
      <c r="E3" s="2" t="inlineStr">
        <is>
          <t>Scenario</t>
        </is>
      </c>
      <c r="F3" s="2" t="inlineStr">
        <is>
          <t>Override</t>
        </is>
      </c>
      <c r="G3" s="2" t="inlineStr">
        <is>
          <t>Source</t>
        </is>
      </c>
      <c r="H3" s="2" t="inlineStr">
        <is>
          <t>Notes</t>
        </is>
      </c>
    </row>
    <row r="4">
      <c r="A4" s="3" t="inlineStr">
        <is>
          <t>A01</t>
        </is>
      </c>
      <c r="B4" s="3" t="inlineStr">
        <is>
          <t>Average nightly rate</t>
        </is>
      </c>
      <c r="C4" s="4" t="n">
        <v>1500</v>
      </c>
      <c r="D4" s="3" t="inlineStr">
        <is>
          <t>EGP/night</t>
        </is>
      </c>
      <c r="E4" s="3" t="inlineStr">
        <is>
          <t>Base</t>
        </is>
      </c>
      <c r="F4" s="3" t="inlineStr"/>
      <c r="G4" s="3" t="inlineStr">
        <is>
          <t>Launch model</t>
        </is>
      </c>
      <c r="H4" s="3" t="inlineStr">
        <is>
          <t>Estimate</t>
        </is>
      </c>
    </row>
    <row r="5">
      <c r="A5" s="3" t="inlineStr">
        <is>
          <t>A02</t>
        </is>
      </c>
      <c r="B5" s="3" t="inlineStr">
        <is>
          <t>Average booking length</t>
        </is>
      </c>
      <c r="C5" s="4" t="n">
        <v>3</v>
      </c>
      <c r="D5" s="3" t="inlineStr">
        <is>
          <t>nights</t>
        </is>
      </c>
      <c r="E5" s="3" t="inlineStr">
        <is>
          <t>Base</t>
        </is>
      </c>
      <c r="F5" s="3" t="inlineStr"/>
      <c r="G5" s="3" t="inlineStr">
        <is>
          <t>Launch model</t>
        </is>
      </c>
      <c r="H5" s="3" t="inlineStr">
        <is>
          <t>Estimate</t>
        </is>
      </c>
    </row>
    <row r="6">
      <c r="A6" s="3" t="inlineStr">
        <is>
          <t>A03</t>
        </is>
      </c>
      <c r="B6" s="3" t="inlineStr">
        <is>
          <t>Average booking value</t>
        </is>
      </c>
      <c r="C6" s="4">
        <f>C4*C5</f>
        <v/>
      </c>
      <c r="D6" s="3" t="inlineStr">
        <is>
          <t>EGP/booking</t>
        </is>
      </c>
      <c r="E6" s="3" t="inlineStr">
        <is>
          <t>Base</t>
        </is>
      </c>
      <c r="F6" s="3" t="inlineStr"/>
      <c r="G6" s="3" t="inlineStr">
        <is>
          <t>Calculated</t>
        </is>
      </c>
      <c r="H6" s="3" t="inlineStr"/>
    </row>
    <row r="7">
      <c r="A7" s="3" t="inlineStr">
        <is>
          <t>A04</t>
        </is>
      </c>
      <c r="B7" s="3" t="inlineStr">
        <is>
          <t>Cleaning fee</t>
        </is>
      </c>
      <c r="C7" s="4" t="n">
        <v>300</v>
      </c>
      <c r="D7" s="3" t="inlineStr">
        <is>
          <t>EGP/booking</t>
        </is>
      </c>
      <c r="E7" s="3" t="inlineStr">
        <is>
          <t>Base</t>
        </is>
      </c>
      <c r="F7" s="3" t="inlineStr"/>
      <c r="G7" s="3" t="inlineStr">
        <is>
          <t>Launch model</t>
        </is>
      </c>
      <c r="H7" s="3" t="inlineStr">
        <is>
          <t>Pass-through/retained decision required</t>
        </is>
      </c>
    </row>
    <row r="8">
      <c r="A8" s="3" t="inlineStr">
        <is>
          <t>A05</t>
        </is>
      </c>
      <c r="B8" s="3" t="inlineStr">
        <is>
          <t>Host commission</t>
        </is>
      </c>
      <c r="C8" s="4" t="n">
        <v>10</v>
      </c>
      <c r="D8" s="3" t="inlineStr">
        <is>
          <t>%</t>
        </is>
      </c>
      <c r="E8" s="3" t="inlineStr">
        <is>
          <t>Base</t>
        </is>
      </c>
      <c r="F8" s="3" t="inlineStr"/>
      <c r="G8" s="3" t="inlineStr">
        <is>
          <t>Launch/GTM</t>
        </is>
      </c>
      <c r="H8" s="3" t="inlineStr">
        <is>
          <t>Configurable</t>
        </is>
      </c>
    </row>
    <row r="9">
      <c r="A9" s="3" t="inlineStr">
        <is>
          <t>A06</t>
        </is>
      </c>
      <c r="B9" s="3" t="inlineStr">
        <is>
          <t>Guest service fee</t>
        </is>
      </c>
      <c r="C9" s="4" t="n">
        <v>4</v>
      </c>
      <c r="D9" s="3" t="inlineStr">
        <is>
          <t>%</t>
        </is>
      </c>
      <c r="E9" s="3" t="inlineStr">
        <is>
          <t>Base</t>
        </is>
      </c>
      <c r="F9" s="3" t="inlineStr"/>
      <c r="G9" s="3" t="inlineStr">
        <is>
          <t>GTM</t>
        </is>
      </c>
      <c r="H9" s="3" t="inlineStr">
        <is>
          <t>0% may apply during Alpha</t>
        </is>
      </c>
    </row>
    <row r="10">
      <c r="A10" s="3" t="inlineStr">
        <is>
          <t>A07</t>
        </is>
      </c>
      <c r="B10" s="3" t="inlineStr">
        <is>
          <t>Payment processing</t>
        </is>
      </c>
      <c r="C10" s="4" t="n">
        <v>2.5</v>
      </c>
      <c r="D10" s="3" t="inlineStr">
        <is>
          <t>%</t>
        </is>
      </c>
      <c r="E10" s="3" t="inlineStr">
        <is>
          <t>Base</t>
        </is>
      </c>
      <c r="F10" s="3" t="inlineStr"/>
      <c r="G10" s="3" t="inlineStr">
        <is>
          <t>User input</t>
        </is>
      </c>
      <c r="H10" s="3" t="inlineStr">
        <is>
          <t>Replace with actual contract</t>
        </is>
      </c>
    </row>
    <row r="11">
      <c r="A11" s="3" t="inlineStr">
        <is>
          <t>A08</t>
        </is>
      </c>
      <c r="B11" s="3" t="inlineStr">
        <is>
          <t>Payment fixed fee</t>
        </is>
      </c>
      <c r="C11" s="4" t="n">
        <v>10</v>
      </c>
      <c r="D11" s="3" t="inlineStr">
        <is>
          <t>EGP/booking</t>
        </is>
      </c>
      <c r="E11" s="3" t="inlineStr">
        <is>
          <t>Base</t>
        </is>
      </c>
      <c r="F11" s="3" t="inlineStr"/>
      <c r="G11" s="3" t="inlineStr">
        <is>
          <t>User input</t>
        </is>
      </c>
      <c r="H11" s="3" t="inlineStr">
        <is>
          <t>Replace with actual contract</t>
        </is>
      </c>
    </row>
    <row r="12">
      <c r="A12" s="3" t="inlineStr">
        <is>
          <t>A09</t>
        </is>
      </c>
      <c r="B12" s="3" t="inlineStr">
        <is>
          <t>Host CAC</t>
        </is>
      </c>
      <c r="C12" s="4" t="n">
        <v>2000</v>
      </c>
      <c r="D12" s="3" t="inlineStr">
        <is>
          <t>EGP/host</t>
        </is>
      </c>
      <c r="E12" s="3" t="inlineStr">
        <is>
          <t>Base</t>
        </is>
      </c>
      <c r="F12" s="3" t="inlineStr"/>
      <c r="G12" s="3" t="inlineStr">
        <is>
          <t>Launch model</t>
        </is>
      </c>
      <c r="H12" s="3" t="inlineStr">
        <is>
          <t>Range 1k–3k</t>
        </is>
      </c>
    </row>
    <row r="13">
      <c r="A13" s="3" t="inlineStr">
        <is>
          <t>A10</t>
        </is>
      </c>
      <c r="B13" s="3" t="inlineStr">
        <is>
          <t>Guest CAC</t>
        </is>
      </c>
      <c r="C13" s="4" t="n">
        <v>0</v>
      </c>
      <c r="D13" s="3" t="inlineStr">
        <is>
          <t>EGP/guest</t>
        </is>
      </c>
      <c r="E13" s="3" t="inlineStr">
        <is>
          <t>Alpha</t>
        </is>
      </c>
      <c r="F13" s="3" t="inlineStr"/>
      <c r="G13" s="3" t="inlineStr">
        <is>
          <t>GTM</t>
        </is>
      </c>
      <c r="H13" s="3" t="inlineStr">
        <is>
          <t>Founder-led/organic</t>
        </is>
      </c>
    </row>
    <row r="14">
      <c r="A14" s="3" t="inlineStr">
        <is>
          <t>A11</t>
        </is>
      </c>
      <c r="B14" s="3" t="inlineStr">
        <is>
          <t>Ops cost / booking</t>
        </is>
      </c>
      <c r="C14" s="4" t="n">
        <v>300</v>
      </c>
      <c r="D14" s="3" t="inlineStr">
        <is>
          <t>EGP/booking</t>
        </is>
      </c>
      <c r="E14" s="3" t="inlineStr">
        <is>
          <t>Base</t>
        </is>
      </c>
      <c r="F14" s="3" t="inlineStr"/>
      <c r="G14" s="3" t="inlineStr">
        <is>
          <t>Launch model</t>
        </is>
      </c>
      <c r="H14" s="3" t="inlineStr">
        <is>
          <t>Needs actual validation</t>
        </is>
      </c>
    </row>
    <row r="15">
      <c r="A15" s="3" t="inlineStr">
        <is>
          <t>A12</t>
        </is>
      </c>
      <c r="B15" s="3" t="inlineStr">
        <is>
          <t>Refund/chargeback loss</t>
        </is>
      </c>
      <c r="C15" s="4" t="n">
        <v>1</v>
      </c>
      <c r="D15" s="3" t="inlineStr">
        <is>
          <t>% GMV</t>
        </is>
      </c>
      <c r="E15" s="3" t="inlineStr">
        <is>
          <t>Base</t>
        </is>
      </c>
      <c r="F15" s="3" t="inlineStr"/>
      <c r="G15" s="3" t="inlineStr">
        <is>
          <t>User input</t>
        </is>
      </c>
      <c r="H15" s="3" t="inlineStr">
        <is>
          <t>Validate after real bookings</t>
        </is>
      </c>
    </row>
    <row r="16">
      <c r="A16" s="3" t="inlineStr">
        <is>
          <t>A13</t>
        </is>
      </c>
      <c r="B16" s="3" t="inlineStr">
        <is>
          <t>Monthly fixed burn</t>
        </is>
      </c>
      <c r="C16" s="4" t="n">
        <v>420000</v>
      </c>
      <c r="D16" s="3" t="inlineStr">
        <is>
          <t>EGP/month</t>
        </is>
      </c>
      <c r="E16" s="3" t="inlineStr">
        <is>
          <t>Base</t>
        </is>
      </c>
      <c r="F16" s="3" t="inlineStr"/>
      <c r="G16" s="3" t="inlineStr">
        <is>
          <t>Launch model</t>
        </is>
      </c>
      <c r="H16" s="3" t="inlineStr">
        <is>
          <t>Expected scenario</t>
        </is>
      </c>
    </row>
    <row r="17">
      <c r="A17" s="3" t="inlineStr">
        <is>
          <t>A14</t>
        </is>
      </c>
      <c r="B17" s="3" t="inlineStr">
        <is>
          <t>Monthly bookings</t>
        </is>
      </c>
      <c r="C17" s="4" t="n">
        <v>100</v>
      </c>
      <c r="D17" s="3" t="inlineStr">
        <is>
          <t>bookings</t>
        </is>
      </c>
      <c r="E17" s="3" t="inlineStr">
        <is>
          <t>Stage 1</t>
        </is>
      </c>
      <c r="F17" s="3" t="inlineStr"/>
      <c r="G17" s="3" t="inlineStr">
        <is>
          <t>Stage 1 target</t>
        </is>
      </c>
      <c r="H17" s="3" t="inlineStr">
        <is>
          <t>Adjust</t>
        </is>
      </c>
    </row>
    <row r="18">
      <c r="A18" s="3" t="inlineStr">
        <is>
          <t>A15</t>
        </is>
      </c>
      <c r="B18" s="3" t="inlineStr">
        <is>
          <t>Active listings</t>
        </is>
      </c>
      <c r="C18" s="4" t="n">
        <v>50</v>
      </c>
      <c r="D18" s="3" t="inlineStr">
        <is>
          <t>listings</t>
        </is>
      </c>
      <c r="E18" s="3" t="inlineStr">
        <is>
          <t>Alpha</t>
        </is>
      </c>
      <c r="F18" s="3" t="inlineStr"/>
      <c r="G18" s="3" t="inlineStr">
        <is>
          <t>Scope freeze</t>
        </is>
      </c>
      <c r="H18" s="3" t="inlineStr">
        <is>
          <t>Target</t>
        </is>
      </c>
    </row>
    <row r="19">
      <c r="A19" s="3" t="inlineStr">
        <is>
          <t>A16</t>
        </is>
      </c>
      <c r="B19" s="3" t="inlineStr">
        <is>
          <t>Occupancy</t>
        </is>
      </c>
      <c r="C19" s="4" t="n">
        <v>50</v>
      </c>
      <c r="D19" s="3" t="inlineStr">
        <is>
          <t>%</t>
        </is>
      </c>
      <c r="E19" s="3" t="inlineStr">
        <is>
          <t>Stage 1</t>
        </is>
      </c>
      <c r="F19" s="3" t="inlineStr"/>
      <c r="G19" s="3" t="inlineStr">
        <is>
          <t>Launch model</t>
        </is>
      </c>
      <c r="H19" s="3" t="inlineStr">
        <is>
          <t>Unvalidated</t>
        </is>
      </c>
    </row>
  </sheetData>
  <autoFilter ref="A1:H19"/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22" customWidth="1" min="3" max="3"/>
    <col width="22" customWidth="1" min="4" max="4"/>
    <col width="50" customWidth="1" min="5" max="5"/>
  </cols>
  <sheetData>
    <row r="1" ht="30" customHeight="1">
      <c r="A1" s="1" t="inlineStr">
        <is>
          <t>UNIT ECONOMICS</t>
        </is>
      </c>
    </row>
    <row r="3">
      <c r="A3" s="2" t="inlineStr">
        <is>
          <t>Metric</t>
        </is>
      </c>
      <c r="B3" s="2" t="inlineStr">
        <is>
          <t>Input / Formula</t>
        </is>
      </c>
      <c r="C3" s="2" t="inlineStr">
        <is>
          <t>Commission</t>
        </is>
      </c>
      <c r="D3" s="2" t="inlineStr">
        <is>
          <t>Fixed Fee</t>
        </is>
      </c>
      <c r="E3" s="2" t="inlineStr">
        <is>
          <t>Notes</t>
        </is>
      </c>
    </row>
    <row r="4">
      <c r="A4" s="3" t="inlineStr">
        <is>
          <t>GMV / booking</t>
        </is>
      </c>
      <c r="B4" s="5" t="inlineStr">
        <is>
          <t>Assumptions!C6</t>
        </is>
      </c>
      <c r="C4" s="3" t="inlineStr"/>
      <c r="D4" s="3" t="inlineStr"/>
      <c r="E4" s="3" t="inlineStr"/>
    </row>
    <row r="5">
      <c r="A5" s="3" t="inlineStr">
        <is>
          <t>Host commission</t>
        </is>
      </c>
      <c r="B5" s="3" t="inlineStr">
        <is>
          <t>GMV × host rate</t>
        </is>
      </c>
      <c r="C5" s="5">
        <f>B4*ASSUMPTIONS!C9/100</f>
        <v/>
      </c>
      <c r="D5" s="3" t="inlineStr"/>
      <c r="E5" s="3" t="inlineStr"/>
    </row>
    <row r="6">
      <c r="A6" s="3" t="inlineStr">
        <is>
          <t>Guest service fee</t>
        </is>
      </c>
      <c r="B6" s="3" t="inlineStr">
        <is>
          <t>GMV × guest rate</t>
        </is>
      </c>
      <c r="C6" s="5">
        <f>B4*ASSUMPTIONS!C10/100</f>
        <v/>
      </c>
      <c r="D6" s="3" t="inlineStr"/>
      <c r="E6" s="3" t="inlineStr"/>
    </row>
    <row r="7">
      <c r="A7" s="3" t="inlineStr">
        <is>
          <t>Fixed service fee</t>
        </is>
      </c>
      <c r="B7" s="3" t="inlineStr"/>
      <c r="C7" s="5" t="inlineStr"/>
      <c r="D7" s="5">
        <f>0</f>
        <v/>
      </c>
      <c r="E7" s="3" t="inlineStr">
        <is>
          <t>Pull active rule per service when modeling a specific service</t>
        </is>
      </c>
    </row>
    <row r="8">
      <c r="A8" s="3" t="inlineStr">
        <is>
          <t>Gross StayOS revenue</t>
        </is>
      </c>
      <c r="B8" s="3" t="inlineStr"/>
      <c r="C8" s="5">
        <f>C5+C6</f>
        <v/>
      </c>
      <c r="D8" s="5">
        <f>D7</f>
        <v/>
      </c>
      <c r="E8" s="3" t="inlineStr"/>
    </row>
    <row r="9">
      <c r="A9" s="3" t="inlineStr">
        <is>
          <t>Payment cost</t>
        </is>
      </c>
      <c r="B9" s="3" t="inlineStr"/>
      <c r="C9" s="5">
        <f>B4*ASSUMPTIONS!C10/100+ASSUMPTIONS!C11</f>
        <v/>
      </c>
      <c r="D9" s="5">
        <f>B4*ASSUMPTIONS!C10/100+ASSUMPTIONS!C11</f>
        <v/>
      </c>
      <c r="E9" s="3" t="inlineStr">
        <is>
          <t>Temporary assumption</t>
        </is>
      </c>
    </row>
    <row r="10">
      <c r="A10" s="3" t="inlineStr">
        <is>
          <t>Ops cost</t>
        </is>
      </c>
      <c r="B10" s="3" t="inlineStr">
        <is>
          <t>Assumptions!C14</t>
        </is>
      </c>
      <c r="C10" s="5">
        <f>ASSUMPTIONS!C14</f>
        <v/>
      </c>
      <c r="D10" s="5">
        <f>ASSUMPTIONS!C14</f>
        <v/>
      </c>
      <c r="E10" s="3" t="inlineStr"/>
    </row>
    <row r="11">
      <c r="A11" s="3" t="inlineStr">
        <is>
          <t>Refund loss</t>
        </is>
      </c>
      <c r="B11" s="3" t="inlineStr">
        <is>
          <t>GMV × loss %</t>
        </is>
      </c>
      <c r="C11" s="5">
        <f>B4*ASSUMPTIONS!C15/100</f>
        <v/>
      </c>
      <c r="D11" s="5">
        <f>B4*ASSUMPTIONS!C15/100</f>
        <v/>
      </c>
      <c r="E11" s="3" t="inlineStr"/>
    </row>
    <row r="12">
      <c r="A12" s="3" t="inlineStr">
        <is>
          <t>Contribution margin</t>
        </is>
      </c>
      <c r="B12" s="3" t="inlineStr"/>
      <c r="C12" s="5">
        <f>C8-C9-C10-C11</f>
        <v/>
      </c>
      <c r="D12" s="5">
        <f>D8-D9-D10-D11</f>
        <v/>
      </c>
      <c r="E12" s="3" t="inlineStr"/>
    </row>
    <row r="13">
      <c r="A13" s="3" t="inlineStr">
        <is>
          <t>Take rate</t>
        </is>
      </c>
      <c r="B13" s="3" t="inlineStr"/>
      <c r="C13" s="6">
        <f>IFERROR(C8/B4,0)</f>
        <v/>
      </c>
      <c r="D13" s="6">
        <f>IFERROR(D8/B4,0)</f>
        <v/>
      </c>
      <c r="E13" s="3" t="inlineStr"/>
    </row>
  </sheetData>
  <autoFilter ref="A1:E13"/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6" customWidth="1" min="4" max="4"/>
    <col width="18" customWidth="1" min="5" max="5"/>
    <col width="18" customWidth="1" min="6" max="6"/>
    <col width="18" customWidth="1" min="7" max="7"/>
    <col width="16" customWidth="1" min="8" max="8"/>
    <col width="16" customWidth="1" min="9" max="9"/>
    <col width="18" customWidth="1" min="10" max="10"/>
    <col width="18" customWidth="1" min="11" max="11"/>
    <col width="16" customWidth="1" min="12" max="12"/>
    <col width="18" customWidth="1" min="13" max="13"/>
  </cols>
  <sheetData>
    <row r="1" ht="30" customHeight="1">
      <c r="A1" s="1" t="inlineStr">
        <is>
          <t>MONTHLY MARKETPLACE MODEL</t>
        </is>
      </c>
    </row>
    <row r="3">
      <c r="A3" s="2" t="inlineStr">
        <is>
          <t>Month</t>
        </is>
      </c>
      <c r="B3" s="2" t="inlineStr">
        <is>
          <t>Listings</t>
        </is>
      </c>
      <c r="C3" s="2" t="inlineStr">
        <is>
          <t>Bookings</t>
        </is>
      </c>
      <c r="D3" s="2" t="inlineStr">
        <is>
          <t>ABV</t>
        </is>
      </c>
      <c r="E3" s="2" t="inlineStr">
        <is>
          <t>GMV</t>
        </is>
      </c>
      <c r="F3" s="2" t="inlineStr">
        <is>
          <t>Revenue</t>
        </is>
      </c>
      <c r="G3" s="2" t="inlineStr">
        <is>
          <t>Payment Cost</t>
        </is>
      </c>
      <c r="H3" s="2" t="inlineStr">
        <is>
          <t>Ops Cost</t>
        </is>
      </c>
      <c r="I3" s="2" t="inlineStr">
        <is>
          <t>Acq Cost</t>
        </is>
      </c>
      <c r="J3" s="2" t="inlineStr">
        <is>
          <t>Variable Cost</t>
        </is>
      </c>
      <c r="K3" s="2" t="inlineStr">
        <is>
          <t>Contribution</t>
        </is>
      </c>
      <c r="L3" s="2" t="inlineStr">
        <is>
          <t>Fixed Burn</t>
        </is>
      </c>
      <c r="M3" s="2" t="inlineStr">
        <is>
          <t>Net Cash</t>
        </is>
      </c>
    </row>
    <row r="4">
      <c r="A4" s="3" t="inlineStr">
        <is>
          <t>M1</t>
        </is>
      </c>
      <c r="B4" s="3">
        <f>ASSUMPTIONS!C18</f>
        <v/>
      </c>
      <c r="C4" s="3">
        <f>ASSUMPTIONS!C17</f>
        <v/>
      </c>
      <c r="D4" s="5">
        <f>ASSUMPTIONS!C6</f>
        <v/>
      </c>
      <c r="E4" s="5">
        <f>C4*D4</f>
        <v/>
      </c>
      <c r="F4" s="5">
        <f>E4*(ASSUMPTIONS!C9+ASSUMPTIONS!C10)/100</f>
        <v/>
      </c>
      <c r="G4" s="5">
        <f>E4*ASSUMPTIONS!C10/100+C4*ASSUMPTIONS!C11</f>
        <v/>
      </c>
      <c r="H4" s="5">
        <f>C4*ASSUMPTIONS!C14</f>
        <v/>
      </c>
      <c r="I4" s="5" t="n">
        <v>0</v>
      </c>
      <c r="J4" s="5">
        <f>G4+H4+I4</f>
        <v/>
      </c>
      <c r="K4" s="5">
        <f>F4-J4</f>
        <v/>
      </c>
      <c r="L4" s="5">
        <f>ASSUMPTIONS!C16</f>
        <v/>
      </c>
      <c r="M4" s="5">
        <f>K4-L4</f>
        <v/>
      </c>
    </row>
    <row r="5">
      <c r="A5" s="3" t="inlineStr">
        <is>
          <t>M2</t>
        </is>
      </c>
      <c r="B5" s="3">
        <f>ASSUMPTIONS!C18</f>
        <v/>
      </c>
      <c r="C5" s="3">
        <f>ASSUMPTIONS!C17</f>
        <v/>
      </c>
      <c r="D5" s="5">
        <f>ASSUMPTIONS!C6</f>
        <v/>
      </c>
      <c r="E5" s="5">
        <f>C5*D5</f>
        <v/>
      </c>
      <c r="F5" s="5">
        <f>E5*(ASSUMPTIONS!C9+ASSUMPTIONS!C10)/100</f>
        <v/>
      </c>
      <c r="G5" s="5">
        <f>E5*ASSUMPTIONS!C10/100+C5*ASSUMPTIONS!C11</f>
        <v/>
      </c>
      <c r="H5" s="5">
        <f>C5*ASSUMPTIONS!C14</f>
        <v/>
      </c>
      <c r="I5" s="5" t="n">
        <v>0</v>
      </c>
      <c r="J5" s="5">
        <f>G5+H5+I5</f>
        <v/>
      </c>
      <c r="K5" s="5">
        <f>F5-J5</f>
        <v/>
      </c>
      <c r="L5" s="5">
        <f>ASSUMPTIONS!C16</f>
        <v/>
      </c>
      <c r="M5" s="5">
        <f>K5-L5</f>
        <v/>
      </c>
    </row>
    <row r="6">
      <c r="A6" s="3" t="inlineStr">
        <is>
          <t>M3</t>
        </is>
      </c>
      <c r="B6" s="3">
        <f>ASSUMPTIONS!C18</f>
        <v/>
      </c>
      <c r="C6" s="3">
        <f>ASSUMPTIONS!C17</f>
        <v/>
      </c>
      <c r="D6" s="5">
        <f>ASSUMPTIONS!C6</f>
        <v/>
      </c>
      <c r="E6" s="5">
        <f>C6*D6</f>
        <v/>
      </c>
      <c r="F6" s="5">
        <f>E6*(ASSUMPTIONS!C9+ASSUMPTIONS!C10)/100</f>
        <v/>
      </c>
      <c r="G6" s="5">
        <f>E6*ASSUMPTIONS!C10/100+C6*ASSUMPTIONS!C11</f>
        <v/>
      </c>
      <c r="H6" s="5">
        <f>C6*ASSUMPTIONS!C14</f>
        <v/>
      </c>
      <c r="I6" s="5" t="n">
        <v>0</v>
      </c>
      <c r="J6" s="5">
        <f>G6+H6+I6</f>
        <v/>
      </c>
      <c r="K6" s="5">
        <f>F6-J6</f>
        <v/>
      </c>
      <c r="L6" s="5">
        <f>ASSUMPTIONS!C16</f>
        <v/>
      </c>
      <c r="M6" s="5">
        <f>K6-L6</f>
        <v/>
      </c>
    </row>
    <row r="7">
      <c r="A7" s="3" t="inlineStr">
        <is>
          <t>M4</t>
        </is>
      </c>
      <c r="B7" s="3">
        <f>ASSUMPTIONS!C18</f>
        <v/>
      </c>
      <c r="C7" s="3">
        <f>ASSUMPTIONS!C17</f>
        <v/>
      </c>
      <c r="D7" s="5">
        <f>ASSUMPTIONS!C6</f>
        <v/>
      </c>
      <c r="E7" s="5">
        <f>C7*D7</f>
        <v/>
      </c>
      <c r="F7" s="5">
        <f>E7*(ASSUMPTIONS!C9+ASSUMPTIONS!C10)/100</f>
        <v/>
      </c>
      <c r="G7" s="5">
        <f>E7*ASSUMPTIONS!C10/100+C7*ASSUMPTIONS!C11</f>
        <v/>
      </c>
      <c r="H7" s="5">
        <f>C7*ASSUMPTIONS!C14</f>
        <v/>
      </c>
      <c r="I7" s="5" t="n">
        <v>0</v>
      </c>
      <c r="J7" s="5">
        <f>G7+H7+I7</f>
        <v/>
      </c>
      <c r="K7" s="5">
        <f>F7-J7</f>
        <v/>
      </c>
      <c r="L7" s="5">
        <f>ASSUMPTIONS!C16</f>
        <v/>
      </c>
      <c r="M7" s="5">
        <f>K7-L7</f>
        <v/>
      </c>
    </row>
    <row r="8">
      <c r="A8" s="3" t="inlineStr">
        <is>
          <t>M5</t>
        </is>
      </c>
      <c r="B8" s="3">
        <f>ASSUMPTIONS!C18</f>
        <v/>
      </c>
      <c r="C8" s="3">
        <f>ASSUMPTIONS!C17</f>
        <v/>
      </c>
      <c r="D8" s="5">
        <f>ASSUMPTIONS!C6</f>
        <v/>
      </c>
      <c r="E8" s="5">
        <f>C8*D8</f>
        <v/>
      </c>
      <c r="F8" s="5">
        <f>E8*(ASSUMPTIONS!C9+ASSUMPTIONS!C10)/100</f>
        <v/>
      </c>
      <c r="G8" s="5">
        <f>E8*ASSUMPTIONS!C10/100+C8*ASSUMPTIONS!C11</f>
        <v/>
      </c>
      <c r="H8" s="5">
        <f>C8*ASSUMPTIONS!C14</f>
        <v/>
      </c>
      <c r="I8" s="5" t="n">
        <v>0</v>
      </c>
      <c r="J8" s="5">
        <f>G8+H8+I8</f>
        <v/>
      </c>
      <c r="K8" s="5">
        <f>F8-J8</f>
        <v/>
      </c>
      <c r="L8" s="5">
        <f>ASSUMPTIONS!C16</f>
        <v/>
      </c>
      <c r="M8" s="5">
        <f>K8-L8</f>
        <v/>
      </c>
    </row>
    <row r="9">
      <c r="A9" s="3" t="inlineStr">
        <is>
          <t>M6</t>
        </is>
      </c>
      <c r="B9" s="3">
        <f>ASSUMPTIONS!C18</f>
        <v/>
      </c>
      <c r="C9" s="3">
        <f>ASSUMPTIONS!C17</f>
        <v/>
      </c>
      <c r="D9" s="5">
        <f>ASSUMPTIONS!C6</f>
        <v/>
      </c>
      <c r="E9" s="5">
        <f>C9*D9</f>
        <v/>
      </c>
      <c r="F9" s="5">
        <f>E9*(ASSUMPTIONS!C9+ASSUMPTIONS!C10)/100</f>
        <v/>
      </c>
      <c r="G9" s="5">
        <f>E9*ASSUMPTIONS!C10/100+C9*ASSUMPTIONS!C11</f>
        <v/>
      </c>
      <c r="H9" s="5">
        <f>C9*ASSUMPTIONS!C14</f>
        <v/>
      </c>
      <c r="I9" s="5" t="n">
        <v>0</v>
      </c>
      <c r="J9" s="5">
        <f>G9+H9+I9</f>
        <v/>
      </c>
      <c r="K9" s="5">
        <f>F9-J9</f>
        <v/>
      </c>
      <c r="L9" s="5">
        <f>ASSUMPTIONS!C16</f>
        <v/>
      </c>
      <c r="M9" s="5">
        <f>K9-L9</f>
        <v/>
      </c>
    </row>
    <row r="10">
      <c r="A10" s="3" t="inlineStr">
        <is>
          <t>M7</t>
        </is>
      </c>
      <c r="B10" s="3">
        <f>ASSUMPTIONS!C18</f>
        <v/>
      </c>
      <c r="C10" s="3">
        <f>ASSUMPTIONS!C17</f>
        <v/>
      </c>
      <c r="D10" s="5">
        <f>ASSUMPTIONS!C6</f>
        <v/>
      </c>
      <c r="E10" s="5">
        <f>C10*D10</f>
        <v/>
      </c>
      <c r="F10" s="5">
        <f>E10*(ASSUMPTIONS!C9+ASSUMPTIONS!C10)/100</f>
        <v/>
      </c>
      <c r="G10" s="5">
        <f>E10*ASSUMPTIONS!C10/100+C10*ASSUMPTIONS!C11</f>
        <v/>
      </c>
      <c r="H10" s="5">
        <f>C10*ASSUMPTIONS!C14</f>
        <v/>
      </c>
      <c r="I10" s="5" t="n">
        <v>0</v>
      </c>
      <c r="J10" s="5">
        <f>G10+H10+I10</f>
        <v/>
      </c>
      <c r="K10" s="5">
        <f>F10-J10</f>
        <v/>
      </c>
      <c r="L10" s="5">
        <f>ASSUMPTIONS!C16</f>
        <v/>
      </c>
      <c r="M10" s="5">
        <f>K10-L10</f>
        <v/>
      </c>
    </row>
    <row r="11">
      <c r="A11" s="3" t="inlineStr">
        <is>
          <t>M8</t>
        </is>
      </c>
      <c r="B11" s="3">
        <f>ASSUMPTIONS!C18</f>
        <v/>
      </c>
      <c r="C11" s="3">
        <f>ASSUMPTIONS!C17</f>
        <v/>
      </c>
      <c r="D11" s="5">
        <f>ASSUMPTIONS!C6</f>
        <v/>
      </c>
      <c r="E11" s="5">
        <f>C11*D11</f>
        <v/>
      </c>
      <c r="F11" s="5">
        <f>E11*(ASSUMPTIONS!C9+ASSUMPTIONS!C10)/100</f>
        <v/>
      </c>
      <c r="G11" s="5">
        <f>E11*ASSUMPTIONS!C10/100+C11*ASSUMPTIONS!C11</f>
        <v/>
      </c>
      <c r="H11" s="5">
        <f>C11*ASSUMPTIONS!C14</f>
        <v/>
      </c>
      <c r="I11" s="5" t="n">
        <v>0</v>
      </c>
      <c r="J11" s="5">
        <f>G11+H11+I11</f>
        <v/>
      </c>
      <c r="K11" s="5">
        <f>F11-J11</f>
        <v/>
      </c>
      <c r="L11" s="5">
        <f>ASSUMPTIONS!C16</f>
        <v/>
      </c>
      <c r="M11" s="5">
        <f>K11-L11</f>
        <v/>
      </c>
    </row>
    <row r="12">
      <c r="A12" s="3" t="inlineStr">
        <is>
          <t>M9</t>
        </is>
      </c>
      <c r="B12" s="3">
        <f>ASSUMPTIONS!C18</f>
        <v/>
      </c>
      <c r="C12" s="3">
        <f>ASSUMPTIONS!C17</f>
        <v/>
      </c>
      <c r="D12" s="5">
        <f>ASSUMPTIONS!C6</f>
        <v/>
      </c>
      <c r="E12" s="5">
        <f>C12*D12</f>
        <v/>
      </c>
      <c r="F12" s="5">
        <f>E12*(ASSUMPTIONS!C9+ASSUMPTIONS!C10)/100</f>
        <v/>
      </c>
      <c r="G12" s="5">
        <f>E12*ASSUMPTIONS!C10/100+C12*ASSUMPTIONS!C11</f>
        <v/>
      </c>
      <c r="H12" s="5">
        <f>C12*ASSUMPTIONS!C14</f>
        <v/>
      </c>
      <c r="I12" s="5" t="n">
        <v>0</v>
      </c>
      <c r="J12" s="5">
        <f>G12+H12+I12</f>
        <v/>
      </c>
      <c r="K12" s="5">
        <f>F12-J12</f>
        <v/>
      </c>
      <c r="L12" s="5">
        <f>ASSUMPTIONS!C16</f>
        <v/>
      </c>
      <c r="M12" s="5">
        <f>K12-L12</f>
        <v/>
      </c>
    </row>
    <row r="13">
      <c r="A13" s="3" t="inlineStr">
        <is>
          <t>M10</t>
        </is>
      </c>
      <c r="B13" s="3">
        <f>ASSUMPTIONS!C18</f>
        <v/>
      </c>
      <c r="C13" s="3">
        <f>ASSUMPTIONS!C17</f>
        <v/>
      </c>
      <c r="D13" s="5">
        <f>ASSUMPTIONS!C6</f>
        <v/>
      </c>
      <c r="E13" s="5">
        <f>C13*D13</f>
        <v/>
      </c>
      <c r="F13" s="5">
        <f>E13*(ASSUMPTIONS!C9+ASSUMPTIONS!C10)/100</f>
        <v/>
      </c>
      <c r="G13" s="5">
        <f>E13*ASSUMPTIONS!C10/100+C13*ASSUMPTIONS!C11</f>
        <v/>
      </c>
      <c r="H13" s="5">
        <f>C13*ASSUMPTIONS!C14</f>
        <v/>
      </c>
      <c r="I13" s="5" t="n">
        <v>0</v>
      </c>
      <c r="J13" s="5">
        <f>G13+H13+I13</f>
        <v/>
      </c>
      <c r="K13" s="5">
        <f>F13-J13</f>
        <v/>
      </c>
      <c r="L13" s="5">
        <f>ASSUMPTIONS!C16</f>
        <v/>
      </c>
      <c r="M13" s="5">
        <f>K13-L13</f>
        <v/>
      </c>
    </row>
    <row r="14">
      <c r="A14" s="3" t="inlineStr">
        <is>
          <t>M11</t>
        </is>
      </c>
      <c r="B14" s="3">
        <f>ASSUMPTIONS!C18</f>
        <v/>
      </c>
      <c r="C14" s="3">
        <f>ASSUMPTIONS!C17</f>
        <v/>
      </c>
      <c r="D14" s="5">
        <f>ASSUMPTIONS!C6</f>
        <v/>
      </c>
      <c r="E14" s="5">
        <f>C14*D14</f>
        <v/>
      </c>
      <c r="F14" s="5">
        <f>E14*(ASSUMPTIONS!C9+ASSUMPTIONS!C10)/100</f>
        <v/>
      </c>
      <c r="G14" s="5">
        <f>E14*ASSUMPTIONS!C10/100+C14*ASSUMPTIONS!C11</f>
        <v/>
      </c>
      <c r="H14" s="5">
        <f>C14*ASSUMPTIONS!C14</f>
        <v/>
      </c>
      <c r="I14" s="5" t="n">
        <v>0</v>
      </c>
      <c r="J14" s="5">
        <f>G14+H14+I14</f>
        <v/>
      </c>
      <c r="K14" s="5">
        <f>F14-J14</f>
        <v/>
      </c>
      <c r="L14" s="5">
        <f>ASSUMPTIONS!C16</f>
        <v/>
      </c>
      <c r="M14" s="5">
        <f>K14-L14</f>
        <v/>
      </c>
    </row>
    <row r="15">
      <c r="A15" s="3" t="inlineStr">
        <is>
          <t>M12</t>
        </is>
      </c>
      <c r="B15" s="3">
        <f>ASSUMPTIONS!C18</f>
        <v/>
      </c>
      <c r="C15" s="3">
        <f>ASSUMPTIONS!C17</f>
        <v/>
      </c>
      <c r="D15" s="5">
        <f>ASSUMPTIONS!C6</f>
        <v/>
      </c>
      <c r="E15" s="5">
        <f>C15*D15</f>
        <v/>
      </c>
      <c r="F15" s="5">
        <f>E15*(ASSUMPTIONS!C9+ASSUMPTIONS!C10)/100</f>
        <v/>
      </c>
      <c r="G15" s="5">
        <f>E15*ASSUMPTIONS!C10/100+C15*ASSUMPTIONS!C11</f>
        <v/>
      </c>
      <c r="H15" s="5">
        <f>C15*ASSUMPTIONS!C14</f>
        <v/>
      </c>
      <c r="I15" s="5" t="n">
        <v>0</v>
      </c>
      <c r="J15" s="5">
        <f>G15+H15+I15</f>
        <v/>
      </c>
      <c r="K15" s="5">
        <f>F15-J15</f>
        <v/>
      </c>
      <c r="L15" s="5">
        <f>ASSUMPTIONS!C16</f>
        <v/>
      </c>
      <c r="M15" s="5">
        <f>K15-L15</f>
        <v/>
      </c>
    </row>
  </sheetData>
  <autoFilter ref="A1:M15"/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6" customWidth="1" min="4" max="4"/>
    <col width="16" customWidth="1" min="5" max="5"/>
    <col width="18" customWidth="1" min="6" max="6"/>
    <col width="20" customWidth="1" min="7" max="7"/>
    <col width="18" customWidth="1" min="8" max="8"/>
    <col width="16" customWidth="1" min="9" max="9"/>
    <col width="16" customWidth="1" min="10" max="10"/>
  </cols>
  <sheetData>
    <row r="1" ht="30" customHeight="1">
      <c r="A1" s="1" t="inlineStr">
        <is>
          <t>SCENARIO COMPARISON</t>
        </is>
      </c>
    </row>
    <row r="3">
      <c r="A3" s="2" t="inlineStr">
        <is>
          <t>Scenario</t>
        </is>
      </c>
      <c r="B3" s="2" t="inlineStr">
        <is>
          <t>Host %</t>
        </is>
      </c>
      <c r="C3" s="2" t="inlineStr">
        <is>
          <t>Guest %</t>
        </is>
      </c>
      <c r="D3" s="2" t="inlineStr">
        <is>
          <t>ABV</t>
        </is>
      </c>
      <c r="E3" s="2" t="inlineStr">
        <is>
          <t>Bookings/Mo</t>
        </is>
      </c>
      <c r="F3" s="2" t="inlineStr">
        <is>
          <t>Revenue/Mo</t>
        </is>
      </c>
      <c r="G3" s="2" t="inlineStr">
        <is>
          <t>Variable Cost</t>
        </is>
      </c>
      <c r="H3" s="2" t="inlineStr">
        <is>
          <t>Contribution</t>
        </is>
      </c>
      <c r="I3" s="2" t="inlineStr">
        <is>
          <t>Fixed Burn</t>
        </is>
      </c>
      <c r="J3" s="2" t="inlineStr">
        <is>
          <t>Net/Mo</t>
        </is>
      </c>
    </row>
    <row r="4">
      <c r="A4" s="3" t="inlineStr">
        <is>
          <t>Alpha Candidate</t>
        </is>
      </c>
      <c r="B4" s="3" t="n">
        <v>0</v>
      </c>
      <c r="C4" s="3" t="n">
        <v>0</v>
      </c>
      <c r="D4" s="3" t="n">
        <v>4500</v>
      </c>
      <c r="E4" s="3" t="n">
        <v>10</v>
      </c>
      <c r="F4" s="3">
        <f>E4*D4*(B4+C4)/100</f>
        <v/>
      </c>
      <c r="G4" s="3">
        <f>E4*D4*ASSUMPTIONS!C10/100+E4*ASSUMPTIONS!C11</f>
        <v/>
      </c>
      <c r="H4" s="3">
        <f>F4-G4</f>
        <v/>
      </c>
      <c r="I4" s="3">
        <f>ASSUMPTIONS!C16</f>
        <v/>
      </c>
      <c r="J4" s="3">
        <f>H4-I4</f>
        <v/>
      </c>
    </row>
    <row r="5">
      <c r="A5" s="3" t="inlineStr">
        <is>
          <t>Base</t>
        </is>
      </c>
      <c r="B5" s="3" t="n">
        <v>10</v>
      </c>
      <c r="C5" s="3" t="n">
        <v>4</v>
      </c>
      <c r="D5" s="3" t="n">
        <v>4500</v>
      </c>
      <c r="E5" s="3" t="n">
        <v>100</v>
      </c>
      <c r="F5" s="3">
        <f>E5*D5*(B5+C5)/100</f>
        <v/>
      </c>
      <c r="G5" s="3">
        <f>E5*D5*ASSUMPTIONS!C10/100+E5*ASSUMPTIONS!C11</f>
        <v/>
      </c>
      <c r="H5" s="3">
        <f>F5-G5</f>
        <v/>
      </c>
      <c r="I5" s="3">
        <f>ASSUMPTIONS!C16</f>
        <v/>
      </c>
      <c r="J5" s="3">
        <f>H5-I5</f>
        <v/>
      </c>
    </row>
    <row r="6">
      <c r="A6" s="3" t="inlineStr">
        <is>
          <t>Conservative</t>
        </is>
      </c>
      <c r="B6" s="3" t="n">
        <v>8</v>
      </c>
      <c r="C6" s="3" t="n">
        <v>3</v>
      </c>
      <c r="D6" s="3" t="n">
        <v>4000</v>
      </c>
      <c r="E6" s="3" t="n">
        <v>75</v>
      </c>
      <c r="F6" s="3">
        <f>E6*D6*(B6+C6)/100</f>
        <v/>
      </c>
      <c r="G6" s="3">
        <f>E6*D6*ASSUMPTIONS!C10/100+E6*ASSUMPTIONS!C11</f>
        <v/>
      </c>
      <c r="H6" s="3">
        <f>F6-G6</f>
        <v/>
      </c>
      <c r="I6" s="3">
        <f>ASSUMPTIONS!C16</f>
        <v/>
      </c>
      <c r="J6" s="3">
        <f>H6-I6</f>
        <v/>
      </c>
    </row>
    <row r="7">
      <c r="A7" s="3" t="inlineStr">
        <is>
          <t>Growth</t>
        </is>
      </c>
      <c r="B7" s="3" t="n">
        <v>12</v>
      </c>
      <c r="C7" s="3" t="n">
        <v>5</v>
      </c>
      <c r="D7" s="3" t="n">
        <v>5000</v>
      </c>
      <c r="E7" s="3" t="n">
        <v>250</v>
      </c>
      <c r="F7" s="3">
        <f>E7*D7*(B7+C7)/100</f>
        <v/>
      </c>
      <c r="G7" s="3">
        <f>E7*D7*ASSUMPTIONS!C10/100+E7*ASSUMPTIONS!C11</f>
        <v/>
      </c>
      <c r="H7" s="3">
        <f>F7-G7</f>
        <v/>
      </c>
      <c r="I7" s="3">
        <f>ASSUMPTIONS!C16</f>
        <v/>
      </c>
      <c r="J7" s="3">
        <f>H7-I7</f>
        <v/>
      </c>
    </row>
  </sheetData>
  <autoFilter ref="A1:J7"/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2" customWidth="1" min="3" max="3"/>
    <col width="25" customWidth="1" min="4" max="4"/>
    <col width="38" customWidth="1" min="5" max="5"/>
    <col width="44" customWidth="1" min="6" max="6"/>
    <col width="22" customWidth="1" min="7" max="7"/>
    <col width="18" customWidth="1" min="8" max="8"/>
    <col width="12" customWidth="1" min="9" max="9"/>
    <col width="24" customWidth="1" min="10" max="10"/>
  </cols>
  <sheetData>
    <row r="1" ht="30" customHeight="1">
      <c r="A1" s="1" t="inlineStr">
        <is>
          <t>SERVICE ROADMAP — PROTECT THE CORE</t>
        </is>
      </c>
    </row>
    <row r="3">
      <c r="A3" s="2" t="inlineStr">
        <is>
          <t>Item</t>
        </is>
      </c>
      <c r="B3" s="2" t="inlineStr">
        <is>
          <t>Type</t>
        </is>
      </c>
      <c r="C3" s="2" t="inlineStr">
        <is>
          <t>State</t>
        </is>
      </c>
      <c r="D3" s="2" t="inlineStr">
        <is>
          <t>Earliest Start</t>
        </is>
      </c>
      <c r="E3" s="2" t="inlineStr">
        <is>
          <t>Gate</t>
        </is>
      </c>
      <c r="F3" s="2" t="inlineStr">
        <is>
          <t>Why Not Now</t>
        </is>
      </c>
      <c r="G3" s="2" t="inlineStr">
        <is>
          <t>Monetization</t>
        </is>
      </c>
      <c r="H3" s="2" t="inlineStr">
        <is>
          <t>Engineering</t>
        </is>
      </c>
      <c r="I3" s="2" t="inlineStr">
        <is>
          <t>Priority</t>
        </is>
      </c>
      <c r="J3" s="2" t="inlineStr">
        <is>
          <t>Decision</t>
        </is>
      </c>
    </row>
    <row r="4">
      <c r="A4" s="3" t="inlineStr">
        <is>
          <t>Accommodation marketplace</t>
        </is>
      </c>
      <c r="B4" s="3" t="inlineStr">
        <is>
          <t>Core</t>
        </is>
      </c>
      <c r="C4" s="3" t="inlineStr">
        <is>
          <t>LIVE / VALIDATION</t>
        </is>
      </c>
      <c r="D4" s="3" t="inlineStr">
        <is>
          <t>NOW</t>
        </is>
      </c>
      <c r="E4" s="3" t="inlineStr">
        <is>
          <t>Authenticated smoke + deployment</t>
        </is>
      </c>
      <c r="F4" s="3" t="inlineStr">
        <is>
          <t>This is the project goal.</t>
        </is>
      </c>
      <c r="G4" s="3" t="inlineStr">
        <is>
          <t>Commission / Fixed</t>
        </is>
      </c>
      <c r="H4" s="3" t="inlineStr">
        <is>
          <t>Built</t>
        </is>
      </c>
      <c r="I4" s="3" t="inlineStr">
        <is>
          <t>P0</t>
        </is>
      </c>
      <c r="J4" s="3" t="inlineStr">
        <is>
          <t>EXECUTE</t>
        </is>
      </c>
    </row>
    <row r="5">
      <c r="A5" s="3" t="inlineStr">
        <is>
          <t>Car rental</t>
        </is>
      </c>
      <c r="B5" s="3" t="inlineStr">
        <is>
          <t>Add-on</t>
        </is>
      </c>
      <c r="C5" s="3" t="inlineStr">
        <is>
          <t>Study</t>
        </is>
      </c>
      <c r="D5" s="3" t="inlineStr">
        <is>
          <t>After 10 bookings</t>
        </is>
      </c>
      <c r="E5" s="3" t="inlineStr">
        <is>
          <t>Core proof</t>
        </is>
      </c>
      <c r="F5" s="3" t="inlineStr">
        <is>
          <t>Would distract from liquidity.</t>
        </is>
      </c>
      <c r="G5" s="3" t="inlineStr">
        <is>
          <t>Commission / Fixed</t>
        </is>
      </c>
      <c r="H5" s="3" t="inlineStr">
        <is>
          <t>Later</t>
        </is>
      </c>
      <c r="I5" s="3" t="inlineStr">
        <is>
          <t>P2</t>
        </is>
      </c>
      <c r="J5" s="3" t="inlineStr">
        <is>
          <t>MANUAL STUDY</t>
        </is>
      </c>
    </row>
    <row r="6">
      <c r="A6" s="3" t="inlineStr">
        <is>
          <t>Airport transfer</t>
        </is>
      </c>
      <c r="B6" s="3" t="inlineStr">
        <is>
          <t>Add-on</t>
        </is>
      </c>
      <c r="C6" s="3" t="inlineStr">
        <is>
          <t>Study</t>
        </is>
      </c>
      <c r="D6" s="3" t="inlineStr">
        <is>
          <t>After 10 bookings</t>
        </is>
      </c>
      <c r="E6" s="3" t="inlineStr">
        <is>
          <t>Core proof</t>
        </is>
      </c>
      <c r="F6" s="3" t="inlineStr">
        <is>
          <t>Can test manually first.</t>
        </is>
      </c>
      <c r="G6" s="3" t="inlineStr">
        <is>
          <t>Commission / Fixed</t>
        </is>
      </c>
      <c r="H6" s="3" t="inlineStr">
        <is>
          <t>Later</t>
        </is>
      </c>
      <c r="I6" s="3" t="inlineStr">
        <is>
          <t>P2</t>
        </is>
      </c>
      <c r="J6" s="3" t="inlineStr">
        <is>
          <t>MANUAL STUDY</t>
        </is>
      </c>
    </row>
    <row r="7">
      <c r="A7" s="3" t="inlineStr">
        <is>
          <t>Trip planning</t>
        </is>
      </c>
      <c r="B7" s="3" t="inlineStr">
        <is>
          <t>Add-on</t>
        </is>
      </c>
      <c r="C7" s="3" t="inlineStr">
        <is>
          <t>Study</t>
        </is>
      </c>
      <c r="D7" s="3" t="inlineStr">
        <is>
          <t>After 10 bookings</t>
        </is>
      </c>
      <c r="E7" s="3" t="inlineStr">
        <is>
          <t>Demand signal</t>
        </is>
      </c>
      <c r="F7" s="3" t="inlineStr">
        <is>
          <t>Can sell manually first.</t>
        </is>
      </c>
      <c r="G7" s="3" t="inlineStr">
        <is>
          <t>Fixed Fee</t>
        </is>
      </c>
      <c r="H7" s="3" t="inlineStr">
        <is>
          <t>Optional</t>
        </is>
      </c>
      <c r="I7" s="3" t="inlineStr">
        <is>
          <t>P2</t>
        </is>
      </c>
      <c r="J7" s="3" t="inlineStr">
        <is>
          <t>MANUAL TEST</t>
        </is>
      </c>
    </row>
    <row r="8">
      <c r="A8" s="3" t="inlineStr">
        <is>
          <t>Tours / experiences</t>
        </is>
      </c>
      <c r="B8" s="3" t="inlineStr">
        <is>
          <t>Add-on</t>
        </is>
      </c>
      <c r="C8" s="3" t="inlineStr">
        <is>
          <t>Study</t>
        </is>
      </c>
      <c r="D8" s="3" t="inlineStr">
        <is>
          <t>After core proof</t>
        </is>
      </c>
      <c r="E8" s="3" t="inlineStr">
        <is>
          <t>Provider/legal validation</t>
        </is>
      </c>
      <c r="F8" s="3" t="inlineStr">
        <is>
          <t>Adds operational complexity.</t>
        </is>
      </c>
      <c r="G8" s="3" t="inlineStr">
        <is>
          <t>Commission / Fixed</t>
        </is>
      </c>
      <c r="H8" s="3" t="inlineStr">
        <is>
          <t>Later</t>
        </is>
      </c>
      <c r="I8" s="3" t="inlineStr">
        <is>
          <t>P2</t>
        </is>
      </c>
      <c r="J8" s="3" t="inlineStr">
        <is>
          <t>DEFER</t>
        </is>
      </c>
    </row>
    <row r="9">
      <c r="A9" s="3" t="inlineStr">
        <is>
          <t>Medical / special stay</t>
        </is>
      </c>
      <c r="B9" s="3" t="inlineStr">
        <is>
          <t>Add-on</t>
        </is>
      </c>
      <c r="C9" s="3" t="inlineStr">
        <is>
          <t>Future</t>
        </is>
      </c>
      <c r="D9" s="3" t="inlineStr">
        <is>
          <t>Post-PMF</t>
        </is>
      </c>
      <c r="E9" s="3" t="inlineStr">
        <is>
          <t>Demand + compliance</t>
        </is>
      </c>
      <c r="F9" s="3" t="inlineStr">
        <is>
          <t>Not launch-critical.</t>
        </is>
      </c>
      <c r="G9" s="3" t="inlineStr">
        <is>
          <t>Commission / Fixed</t>
        </is>
      </c>
      <c r="H9" s="3" t="inlineStr">
        <is>
          <t>Yes</t>
        </is>
      </c>
      <c r="I9" s="3" t="inlineStr">
        <is>
          <t>P3</t>
        </is>
      </c>
      <c r="J9" s="3" t="inlineStr">
        <is>
          <t>DEFER</t>
        </is>
      </c>
    </row>
    <row r="10">
      <c r="A10" s="3" t="inlineStr">
        <is>
          <t>B2B SaaS</t>
        </is>
      </c>
      <c r="B10" s="3" t="inlineStr">
        <is>
          <t>Future</t>
        </is>
      </c>
      <c r="C10" s="3" t="inlineStr">
        <is>
          <t>Deferred/Proposed</t>
        </is>
      </c>
      <c r="D10" s="3" t="inlineStr">
        <is>
          <t>Phase 2/3</t>
        </is>
      </c>
      <c r="E10" s="3" t="inlineStr">
        <is>
          <t>PMF + B2B scale</t>
        </is>
      </c>
      <c r="F10" s="3" t="inlineStr">
        <is>
          <t>DEC-010 proposed; MVP defers billing.</t>
        </is>
      </c>
      <c r="G10" s="3" t="inlineStr">
        <is>
          <t>Fixed Fee</t>
        </is>
      </c>
      <c r="H10" s="3" t="inlineStr">
        <is>
          <t>Yes</t>
        </is>
      </c>
      <c r="I10" s="3" t="inlineStr">
        <is>
          <t>P3</t>
        </is>
      </c>
      <c r="J10" s="3" t="inlineStr">
        <is>
          <t>DEFER</t>
        </is>
      </c>
    </row>
    <row r="11">
      <c r="A11" s="3" t="inlineStr">
        <is>
          <t>Reciprocal Hosting Match</t>
        </is>
      </c>
      <c r="B11" s="3" t="inlineStr">
        <is>
          <t>Separate experiment</t>
        </is>
      </c>
      <c r="C11" s="3" t="inlineStr">
        <is>
          <t>Discovery</t>
        </is>
      </c>
      <c r="D11" s="3" t="inlineStr">
        <is>
          <t>After 10 bookings + validation</t>
        </is>
      </c>
      <c r="E11" s="3" t="inlineStr">
        <is>
          <t>Liquidity/legal/competitive study</t>
        </is>
      </c>
      <c r="F11" s="3" t="inlineStr">
        <is>
          <t>Different marketplace problem.</t>
        </is>
      </c>
      <c r="G11" s="3" t="inlineStr">
        <is>
          <t>None initially</t>
        </is>
      </c>
      <c r="H11" s="3" t="inlineStr">
        <is>
          <t>Yes</t>
        </is>
      </c>
      <c r="I11" s="3" t="inlineStr">
        <is>
          <t>P3</t>
        </is>
      </c>
      <c r="J11" s="3" t="inlineStr">
        <is>
          <t>DISCOVERY ONLY</t>
        </is>
      </c>
    </row>
    <row r="12">
      <c r="A12" s="3" t="inlineStr">
        <is>
          <t>Native mobile</t>
        </is>
      </c>
      <c r="B12" s="3" t="inlineStr">
        <is>
          <t>Platform</t>
        </is>
      </c>
      <c r="C12" s="3" t="inlineStr">
        <is>
          <t>Designed, not built</t>
        </is>
      </c>
      <c r="D12" s="3" t="inlineStr">
        <is>
          <t>After 500 bookings / Phase 2</t>
        </is>
      </c>
      <c r="E12" s="3" t="inlineStr">
        <is>
          <t>500 listings + 200 bookings/mo + positive unit economics</t>
        </is>
      </c>
      <c r="F12" s="3" t="inlineStr">
        <is>
          <t>Web/PWA sufficient before gate.</t>
        </is>
      </c>
      <c r="G12" s="3" t="inlineStr">
        <is>
          <t>N/A</t>
        </is>
      </c>
      <c r="H12" s="3" t="inlineStr">
        <is>
          <t>Yes</t>
        </is>
      </c>
      <c r="I12" s="3" t="inlineStr">
        <is>
          <t>P3</t>
        </is>
      </c>
      <c r="J12" s="3" t="inlineStr">
        <is>
          <t>DEFER</t>
        </is>
      </c>
    </row>
  </sheetData>
  <autoFilter ref="A1:J12"/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48" customWidth="1" min="3" max="3"/>
    <col width="48" customWidth="1" min="4" max="4"/>
    <col width="28" customWidth="1" min="5" max="5"/>
    <col width="16" customWidth="1" min="6" max="6"/>
    <col width="18" customWidth="1" min="7" max="7"/>
    <col width="14" customWidth="1" min="8" max="8"/>
  </cols>
  <sheetData>
    <row r="1" ht="30" customHeight="1">
      <c r="A1" s="1" t="inlineStr">
        <is>
          <t>EXECUTIVE COMMERCIAL DECISIONS</t>
        </is>
      </c>
    </row>
    <row r="3">
      <c r="A3" s="2" t="inlineStr">
        <is>
          <t>ID</t>
        </is>
      </c>
      <c r="B3" s="2" t="inlineStr">
        <is>
          <t>Decision</t>
        </is>
      </c>
      <c r="C3" s="2" t="inlineStr">
        <is>
          <t>Evidence</t>
        </is>
      </c>
      <c r="D3" s="2" t="inlineStr">
        <is>
          <t>Recommended Position</t>
        </is>
      </c>
      <c r="E3" s="2" t="inlineStr">
        <is>
          <t>Your Decision</t>
        </is>
      </c>
      <c r="F3" s="2" t="inlineStr">
        <is>
          <t>Date</t>
        </is>
      </c>
      <c r="G3" s="2" t="inlineStr">
        <is>
          <t>Owner</t>
        </is>
      </c>
      <c r="H3" s="2" t="inlineStr">
        <is>
          <t>Status</t>
        </is>
      </c>
    </row>
    <row r="4">
      <c r="A4" s="3" t="inlineStr">
        <is>
          <t>D01</t>
        </is>
      </c>
      <c r="B4" s="3" t="inlineStr">
        <is>
          <t>Alpha host commission</t>
        </is>
      </c>
      <c r="C4" s="3" t="inlineStr">
        <is>
          <t>GTM review: 0% first 3, then 10%.</t>
        </is>
      </c>
      <c r="D4" s="3" t="inlineStr">
        <is>
          <t>0% first 3 per host → 10% standard</t>
        </is>
      </c>
      <c r="E4" s="4" t="inlineStr"/>
      <c r="F4" s="3" t="inlineStr"/>
      <c r="G4" s="3" t="inlineStr">
        <is>
          <t>Founder</t>
        </is>
      </c>
      <c r="H4" s="3" t="inlineStr">
        <is>
          <t>OPEN</t>
        </is>
      </c>
    </row>
    <row r="5">
      <c r="A5" s="3" t="inlineStr">
        <is>
          <t>D02</t>
        </is>
      </c>
      <c r="B5" s="3" t="inlineStr">
        <is>
          <t>Alpha guest fee</t>
        </is>
      </c>
      <c r="C5" s="3" t="inlineStr">
        <is>
          <t>GTM review: 0% during alpha/first 10.</t>
        </is>
      </c>
      <c r="D5" s="3" t="inlineStr">
        <is>
          <t>0% first 10 → 4% standard</t>
        </is>
      </c>
      <c r="E5" s="4" t="inlineStr"/>
      <c r="F5" s="3" t="inlineStr"/>
      <c r="G5" s="3" t="inlineStr">
        <is>
          <t>Founder</t>
        </is>
      </c>
      <c r="H5" s="3" t="inlineStr">
        <is>
          <t>OPEN</t>
        </is>
      </c>
    </row>
    <row r="6">
      <c r="A6" s="3" t="inlineStr">
        <is>
          <t>D03</t>
        </is>
      </c>
      <c r="B6" s="3" t="inlineStr">
        <is>
          <t>Cleaning fee</t>
        </is>
      </c>
      <c r="C6" s="3" t="inlineStr">
        <is>
          <t>Existing execution plan: host-set pass-through.</t>
        </is>
      </c>
      <c r="D6" s="3" t="inlineStr">
        <is>
          <t>100% host</t>
        </is>
      </c>
      <c r="E6" s="4" t="inlineStr"/>
      <c r="F6" s="3" t="inlineStr"/>
      <c r="G6" s="3" t="inlineStr">
        <is>
          <t>Founder</t>
        </is>
      </c>
      <c r="H6" s="3" t="inlineStr">
        <is>
          <t>OPEN</t>
        </is>
      </c>
    </row>
    <row r="7">
      <c r="A7" s="3" t="inlineStr">
        <is>
          <t>D04</t>
        </is>
      </c>
      <c r="B7" s="3" t="inlineStr">
        <is>
          <t>Location pricing</t>
        </is>
      </c>
      <c r="C7" s="3" t="inlineStr">
        <is>
          <t>User requires it.</t>
        </is>
      </c>
      <c r="D7" s="3" t="inlineStr">
        <is>
          <t>Enable country/city/zone pricing</t>
        </is>
      </c>
      <c r="E7" s="4" t="inlineStr"/>
      <c r="F7" s="3" t="inlineStr"/>
      <c r="G7" s="3" t="inlineStr">
        <is>
          <t>Founder</t>
        </is>
      </c>
      <c r="H7" s="3" t="inlineStr">
        <is>
          <t>OPEN</t>
        </is>
      </c>
    </row>
    <row r="8">
      <c r="A8" s="3" t="inlineStr">
        <is>
          <t>D05</t>
        </is>
      </c>
      <c r="B8" s="3" t="inlineStr">
        <is>
          <t>Type pricing</t>
        </is>
      </c>
      <c r="C8" s="3" t="inlineStr">
        <is>
          <t>User requires it.</t>
        </is>
      </c>
      <c r="D8" s="3" t="inlineStr">
        <is>
          <t>Enable property/service type dimension</t>
        </is>
      </c>
      <c r="E8" s="4" t="inlineStr"/>
      <c r="F8" s="3" t="inlineStr"/>
      <c r="G8" s="3" t="inlineStr">
        <is>
          <t>Founder</t>
        </is>
      </c>
      <c r="H8" s="3" t="inlineStr">
        <is>
          <t>OPEN</t>
        </is>
      </c>
    </row>
    <row r="9">
      <c r="A9" s="3" t="inlineStr">
        <is>
          <t>D06</t>
        </is>
      </c>
      <c r="B9" s="3" t="inlineStr">
        <is>
          <t>Agency pricing</t>
        </is>
      </c>
      <c r="C9" s="3" t="inlineStr">
        <is>
          <t>Institutional partners may negotiate.</t>
        </is>
      </c>
      <c r="D9" s="3" t="inlineStr">
        <is>
          <t>Allow portfolio-based rules</t>
        </is>
      </c>
      <c r="E9" s="4" t="inlineStr"/>
      <c r="F9" s="3" t="inlineStr"/>
      <c r="G9" s="3" t="inlineStr">
        <is>
          <t>Founder</t>
        </is>
      </c>
      <c r="H9" s="3" t="inlineStr">
        <is>
          <t>OPEN</t>
        </is>
      </c>
    </row>
    <row r="10">
      <c r="A10" s="3" t="inlineStr">
        <is>
          <t>D07</t>
        </is>
      </c>
      <c r="B10" s="3" t="inlineStr">
        <is>
          <t>Two monetization methods</t>
        </is>
      </c>
      <c r="C10" s="3" t="inlineStr">
        <is>
          <t>User requires commission OR fixed fee.</t>
        </is>
      </c>
      <c r="D10" s="3" t="inlineStr">
        <is>
          <t>Support both at service/rule level</t>
        </is>
      </c>
      <c r="E10" s="4" t="inlineStr"/>
      <c r="F10" s="3" t="inlineStr"/>
      <c r="G10" s="3" t="inlineStr">
        <is>
          <t>Founder</t>
        </is>
      </c>
      <c r="H10" s="3" t="inlineStr">
        <is>
          <t>OPEN</t>
        </is>
      </c>
    </row>
    <row r="11">
      <c r="A11" s="3" t="inlineStr">
        <is>
          <t>D08</t>
        </is>
      </c>
      <c r="B11" s="3" t="inlineStr">
        <is>
          <t>Native mobile</t>
        </is>
      </c>
      <c r="C11" s="3" t="inlineStr">
        <is>
          <t>MVP scope defers until 500 bookings.</t>
        </is>
      </c>
      <c r="D11" s="3" t="inlineStr">
        <is>
          <t>Do not build now</t>
        </is>
      </c>
      <c r="E11" s="4" t="inlineStr"/>
      <c r="F11" s="3" t="inlineStr"/>
      <c r="G11" s="3" t="inlineStr">
        <is>
          <t>Founder</t>
        </is>
      </c>
      <c r="H11" s="3" t="inlineStr">
        <is>
          <t>OPEN</t>
        </is>
      </c>
    </row>
    <row r="12">
      <c r="A12" s="3" t="inlineStr">
        <is>
          <t>D09</t>
        </is>
      </c>
      <c r="B12" s="3" t="inlineStr">
        <is>
          <t>Paid add-ons</t>
        </is>
      </c>
      <c r="C12" s="3" t="inlineStr">
        <is>
          <t>Need to protect core.</t>
        </is>
      </c>
      <c r="D12" s="3" t="inlineStr">
        <is>
          <t>Manual test after 10 bookings; build only on evidence</t>
        </is>
      </c>
      <c r="E12" s="4" t="inlineStr"/>
      <c r="F12" s="3" t="inlineStr"/>
      <c r="G12" s="3" t="inlineStr">
        <is>
          <t>Founder</t>
        </is>
      </c>
      <c r="H12" s="3" t="inlineStr">
        <is>
          <t>OPEN</t>
        </is>
      </c>
    </row>
    <row r="13">
      <c r="A13" s="3" t="inlineStr">
        <is>
          <t>D10</t>
        </is>
      </c>
      <c r="B13" s="3" t="inlineStr">
        <is>
          <t>Reciprocal Hosting</t>
        </is>
      </c>
      <c r="C13" s="3" t="inlineStr">
        <is>
          <t>Discovery only today.</t>
        </is>
      </c>
      <c r="D13" s="3" t="inlineStr">
        <is>
          <t>Separate validation after core proof</t>
        </is>
      </c>
      <c r="E13" s="4" t="inlineStr"/>
      <c r="F13" s="3" t="inlineStr"/>
      <c r="G13" s="3" t="inlineStr">
        <is>
          <t>Founder</t>
        </is>
      </c>
      <c r="H13" s="3" t="inlineStr">
        <is>
          <t>OPEN</t>
        </is>
      </c>
    </row>
  </sheetData>
  <autoFilter ref="A1:H13"/>
  <mergeCells count="1">
    <mergeCell ref="A1:H1"/>
  </mergeCells>
  <dataValidations count="1">
    <dataValidation sqref="H4:H13" showDropDown="0" showInputMessage="0" showErrorMessage="0" allowBlank="1" type="list">
      <formula1>"OPEN,APPROVED,REJECTED,DEFERRED"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68" customWidth="1" min="3" max="3"/>
    <col width="22" customWidth="1" min="4" max="4"/>
    <col width="55" customWidth="1" min="5" max="5"/>
  </cols>
  <sheetData>
    <row r="1" ht="30" customHeight="1">
      <c r="A1" s="1" t="inlineStr">
        <is>
          <t>SOURCE / STATUS NOTES</t>
        </is>
      </c>
    </row>
    <row r="3">
      <c r="A3" s="2" t="inlineStr">
        <is>
          <t>Topic</t>
        </is>
      </c>
      <c r="B3" s="2" t="inlineStr">
        <is>
          <t>Source</t>
        </is>
      </c>
      <c r="C3" s="2" t="inlineStr">
        <is>
          <t>Supports</t>
        </is>
      </c>
      <c r="D3" s="2" t="inlineStr">
        <is>
          <t>Status</t>
        </is>
      </c>
      <c r="E3" s="2" t="inlineStr">
        <is>
          <t>Limitation</t>
        </is>
      </c>
    </row>
    <row r="4">
      <c r="A4" s="3" t="inlineStr">
        <is>
          <t>MVP gate</t>
        </is>
      </c>
      <c r="B4" s="3" t="inlineStr">
        <is>
          <t>MVP_SCOPE_FREEZE.md</t>
        </is>
      </c>
      <c r="C4" s="3" t="inlineStr">
        <is>
          <t>10 completed bookings, EGP payment, host payout, 0 P0 safety/fraud</t>
        </is>
      </c>
      <c r="D4" s="3" t="inlineStr">
        <is>
          <t>Authoritative</t>
        </is>
      </c>
      <c r="E4" s="3" t="inlineStr">
        <is>
          <t>Not a pricing decision.</t>
        </is>
      </c>
    </row>
    <row r="5">
      <c r="A5" s="3" t="inlineStr">
        <is>
          <t>Revenue</t>
        </is>
      </c>
      <c r="B5" s="3" t="inlineStr">
        <is>
          <t>DECISION_LOG DEC-010</t>
        </is>
      </c>
      <c r="C5" s="3" t="inlineStr">
        <is>
          <t>8–12% host + 3–5% guest + B2B SaaS proposed</t>
        </is>
      </c>
      <c r="D5" s="3" t="inlineStr">
        <is>
          <t>PROPOSED</t>
        </is>
      </c>
      <c r="E5" s="3" t="inlineStr">
        <is>
          <t>Requires validation.</t>
        </is>
      </c>
    </row>
    <row r="6">
      <c r="A6" s="3" t="inlineStr">
        <is>
          <t>Launch model</t>
        </is>
      </c>
      <c r="B6" s="3" t="inlineStr">
        <is>
          <t>LAUNCH_FINANCIAL_MODEL.md</t>
        </is>
      </c>
      <c r="C6" s="3" t="inlineStr">
        <is>
          <t>10% host, 3–5% guest, 13–17% take rate, ABV 4,500</t>
        </is>
      </c>
      <c r="D6" s="3" t="inlineStr">
        <is>
          <t>Model</t>
        </is>
      </c>
      <c r="E6" s="3" t="inlineStr">
        <is>
          <t>Contains estimates.</t>
        </is>
      </c>
    </row>
    <row r="7">
      <c r="A7" s="3" t="inlineStr">
        <is>
          <t>GTM</t>
        </is>
      </c>
      <c r="B7" s="3" t="inlineStr">
        <is>
          <t>05_GO_TO_MARKET_VALIDATION.md</t>
        </is>
      </c>
      <c r="C7" s="3" t="inlineStr">
        <is>
          <t>0% host first 3; 0% guest first 10; standard 10% + 4%</t>
        </is>
      </c>
      <c r="D7" s="3" t="inlineStr">
        <is>
          <t>Recommendation</t>
        </is>
      </c>
      <c r="E7" s="3" t="inlineStr">
        <is>
          <t>Needs founder approval.</t>
        </is>
      </c>
    </row>
    <row r="8">
      <c r="A8" s="3" t="inlineStr">
        <is>
          <t>Mobile</t>
        </is>
      </c>
      <c r="B8" s="3" t="inlineStr">
        <is>
          <t>MVP_SCOPE_FREEZE / 08_MOBILE_MAP</t>
        </is>
      </c>
      <c r="C8" s="3" t="inlineStr">
        <is>
          <t>Native app deferred; web/PWA sufficient through first 500 bookings; no mobile code</t>
        </is>
      </c>
      <c r="D8" s="3" t="inlineStr">
        <is>
          <t>Current scope</t>
        </is>
      </c>
      <c r="E8" s="3" t="inlineStr">
        <is>
          <t>Design exists, implementation does not.</t>
        </is>
      </c>
    </row>
    <row r="9">
      <c r="A9" s="3" t="inlineStr">
        <is>
          <t>Core loop</t>
        </is>
      </c>
      <c r="B9" s="3" t="inlineStr">
        <is>
          <t>05_CLOSED_ALPHA_PLAYBOOK / CLOSED_ALPHA_EXECUTION_PLAN</t>
        </is>
      </c>
      <c r="C9" s="3" t="inlineStr">
        <is>
          <t>Supply → demand → booking → trust → repeat; 10 bookings exit gate</t>
        </is>
      </c>
      <c r="D9" s="3" t="inlineStr">
        <is>
          <t>Current direction</t>
        </is>
      </c>
      <c r="E9" s="3" t="inlineStr">
        <is>
          <t>Older docs conflict on 4 vs 6 weeks.</t>
        </is>
      </c>
    </row>
    <row r="10">
      <c r="A10" s="3" t="inlineStr">
        <is>
          <t>Reciprocal Hosting</t>
        </is>
      </c>
      <c r="B10" s="3" t="inlineStr">
        <is>
          <t>Hospitality Exchange idea.md</t>
        </is>
      </c>
      <c r="C10" s="3" t="inlineStr">
        <is>
          <t>Strict 1:1 simultaneous reciprocal free hosting</t>
        </is>
      </c>
      <c r="D10" s="3" t="inlineStr">
        <is>
          <t>Discovery</t>
        </is>
      </c>
      <c r="E10" s="3" t="inlineStr">
        <is>
          <t>Not current core.</t>
        </is>
      </c>
    </row>
  </sheetData>
  <autoFilter ref="A1:E10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2026-08-09T22:15:35Z</dcterms:created>
  <dcterms:modified xmlns:dcterms="http://purl.org/dc/terms/" xmlns:xsi="http://www.w3.org/2001/XMLSchema-instance" xsi:type="dcterms:W3CDTF">2026-08-09T22:15:35Z</dcterms:modified>
</cp:coreProperties>
</file>