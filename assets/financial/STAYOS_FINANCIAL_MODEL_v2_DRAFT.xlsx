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NTROL_PANEL" sheetId="1" state="visible" r:id="rId1"/>
    <sheet xmlns:r="http://schemas.openxmlformats.org/officeDocument/2006/relationships" name="02_MARKETPLACE_ASSUMPTIONS" sheetId="2" state="visible" r:id="rId2"/>
    <sheet xmlns:r="http://schemas.openxmlformats.org/officeDocument/2006/relationships" name="03_SUPPLY_MODEL" sheetId="3" state="visible" r:id="rId3"/>
    <sheet xmlns:r="http://schemas.openxmlformats.org/officeDocument/2006/relationships" name="04_DEMAND_MODEL" sheetId="4" state="visible" r:id="rId4"/>
    <sheet xmlns:r="http://schemas.openxmlformats.org/officeDocument/2006/relationships" name="05_BOOKING_MODEL" sheetId="5" state="visible" r:id="rId5"/>
    <sheet xmlns:r="http://schemas.openxmlformats.org/officeDocument/2006/relationships" name="06_REVENUE_MODEL" sheetId="6" state="visible" r:id="rId6"/>
    <sheet xmlns:r="http://schemas.openxmlformats.org/officeDocument/2006/relationships" name="07_VARIABLE_COSTS" sheetId="7" state="visible" r:id="rId7"/>
    <sheet xmlns:r="http://schemas.openxmlformats.org/officeDocument/2006/relationships" name="08_FIXED_COSTS" sheetId="8" state="visible" r:id="rId8"/>
    <sheet xmlns:r="http://schemas.openxmlformats.org/officeDocument/2006/relationships" name="09_HEADCOUNT" sheetId="9" state="visible" r:id="rId9"/>
    <sheet xmlns:r="http://schemas.openxmlformats.org/officeDocument/2006/relationships" name="10_P&amp;L" sheetId="10" state="visible" r:id="rId10"/>
    <sheet xmlns:r="http://schemas.openxmlformats.org/officeDocument/2006/relationships" name="11_CASH_FLOW" sheetId="11" state="visible" r:id="rId11"/>
    <sheet xmlns:r="http://schemas.openxmlformats.org/officeDocument/2006/relationships" name="12_UNIT_ECONOMICS" sheetId="12" state="visible" r:id="rId12"/>
    <sheet xmlns:r="http://schemas.openxmlformats.org/officeDocument/2006/relationships" name="13_SCENARIOS" sheetId="13" state="visible" r:id="rId13"/>
    <sheet xmlns:r="http://schemas.openxmlformats.org/officeDocument/2006/relationships" name="14_ALPHA_MODEL" sheetId="14" state="visible" r:id="rId14"/>
    <sheet xmlns:r="http://schemas.openxmlformats.org/officeDocument/2006/relationships" name="15_KPI_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7" borderId="0" pivotButton="0" quotePrefix="0" xfId="0"/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GMV vs Base Platform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'06_REVENUE_MODEL'!B3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'06_REVENUE_MODEL'!$A$4:$A$27</f>
            </numRef>
          </cat>
          <val>
            <numRef>
              <f>'06_REVENUE_MODEL'!$B$4:$B$27</f>
            </numRef>
          </val>
        </ser>
        <ser>
          <idx val="1"/>
          <order val="1"/>
          <tx>
            <strRef>
              <f>'06_REVENUE_MODEL'!H3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'06_REVENUE_MODEL'!$A$4:$A$27</f>
            </numRef>
          </cat>
          <val>
            <numRef>
              <f>'06_REVENUE_MODEL'!$H$4:$H$27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EGP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4" customWidth="1" min="3" max="3"/>
    <col width="78" customWidth="1" min="4" max="4"/>
  </cols>
  <sheetData>
    <row r="1">
      <c r="A1" s="1" t="inlineStr">
        <is>
          <t>StayOS Financial Model v2 — Control Panel</t>
        </is>
      </c>
    </row>
    <row r="3">
      <c r="A3" s="2" t="inlineStr">
        <is>
          <t>Model status</t>
        </is>
      </c>
      <c r="B3" s="3" t="inlineStr">
        <is>
          <t>DRAFT — decision-support model, not yet validated</t>
        </is>
      </c>
      <c r="C3" s="3" t="n"/>
      <c r="D3" s="4" t="inlineStr">
        <is>
          <t>How to use</t>
        </is>
      </c>
    </row>
    <row r="4">
      <c r="A4" s="2" t="inlineStr">
        <is>
          <t>Model date</t>
        </is>
      </c>
      <c r="B4" s="5" t="n">
        <v>46256</v>
      </c>
      <c r="C4" s="3" t="n"/>
      <c r="D4" s="3" t="inlineStr">
        <is>
          <t>Edit assumptions in 02_MARKETPLACE_ASSUMPTIONS only.</t>
        </is>
      </c>
    </row>
    <row r="5">
      <c r="A5" s="2" t="inlineStr">
        <is>
          <t>Current evidence baseline</t>
        </is>
      </c>
      <c r="B5" s="3" t="inlineStr">
        <is>
          <t>Assessment Evidence Freeze v1 — 2026-08-22</t>
        </is>
      </c>
      <c r="C5" s="3" t="n"/>
      <c r="D5" s="3" t="inlineStr">
        <is>
          <t>Current facts and planning assumptions are explicitly separated.</t>
        </is>
      </c>
    </row>
    <row r="6">
      <c r="A6" s="2" t="inlineStr">
        <is>
          <t>Current commercial reality</t>
        </is>
      </c>
      <c r="B6" s="3" t="inlineStr">
        <is>
          <t>0 real users / 0 real listings / 0 bookings / EGP 0 revenue</t>
        </is>
      </c>
      <c r="C6" s="3" t="n"/>
      <c r="D6" s="3" t="inlineStr">
        <is>
          <t>Alpha uses 0% platform commission by current executive decision.</t>
        </is>
      </c>
    </row>
    <row r="7">
      <c r="A7" s="2" t="inlineStr">
        <is>
          <t>Alpha stage</t>
        </is>
      </c>
      <c r="B7" s="3" t="inlineStr">
        <is>
          <t>FINISH V1 → VALIDATE</t>
        </is>
      </c>
      <c r="C7" s="3" t="n"/>
      <c r="D7" s="3" t="inlineStr">
        <is>
          <t>Post-Alpha commission is a scenario assumption, not a validated fact.</t>
        </is>
      </c>
    </row>
    <row r="8">
      <c r="A8" s="2" t="inlineStr">
        <is>
          <t>Alpha platform commission</t>
        </is>
      </c>
      <c r="B8" s="6" t="n">
        <v>0</v>
      </c>
      <c r="C8" s="3" t="n"/>
      <c r="D8" s="3" t="inlineStr">
        <is>
          <t>The model separates supply, demand, transactions, monetization and costs.</t>
        </is>
      </c>
    </row>
    <row r="9">
      <c r="A9" s="2" t="inlineStr">
        <is>
          <t>Post-Alpha Base Commission</t>
        </is>
      </c>
      <c r="B9" s="6" t="n">
        <v>0.1</v>
      </c>
      <c r="C9" s="3" t="n"/>
      <c r="D9" s="3" t="inlineStr">
        <is>
          <t>No number marked 'Draft assumption' should be treated as evidence.</t>
        </is>
      </c>
    </row>
    <row r="10">
      <c r="A10" s="2" t="inlineStr">
        <is>
          <t>Post-Alpha Upside Commission</t>
        </is>
      </c>
      <c r="B10" s="6" t="n">
        <v>0.12</v>
      </c>
      <c r="C10" s="3" t="n"/>
      <c r="D10" s="3" t="n"/>
    </row>
    <row r="11">
      <c r="A11" s="2" t="inlineStr">
        <is>
          <t>Post-Alpha Downside Commission</t>
        </is>
      </c>
      <c r="B11" s="3" t="n">
        <v>0.08</v>
      </c>
      <c r="C11" s="3" t="n"/>
      <c r="D11" s="3" t="n"/>
    </row>
    <row r="12">
      <c r="A12" s="2" t="inlineStr">
        <is>
          <t>Alpha booking gate</t>
        </is>
      </c>
      <c r="B12" s="3" t="n">
        <v>7</v>
      </c>
      <c r="C12" s="3" t="n"/>
      <c r="D12" s="3" t="n"/>
    </row>
    <row r="13">
      <c r="A13" s="2" t="inlineStr">
        <is>
          <t>Original workbook Studio ADR</t>
        </is>
      </c>
      <c r="B13" s="7" t="n">
        <v>1800</v>
      </c>
      <c r="C13" s="3" t="n"/>
      <c r="D13" s="3" t="n"/>
    </row>
    <row r="14">
      <c r="A14" s="2" t="inlineStr">
        <is>
          <t>Original workbook Apartment ADR</t>
        </is>
      </c>
      <c r="B14" s="7" t="n">
        <v>2500</v>
      </c>
      <c r="C14" s="3" t="n"/>
      <c r="D14" s="3" t="n"/>
    </row>
    <row r="15">
      <c r="A15" s="2" t="inlineStr">
        <is>
          <t>Original workbook Villa ADR</t>
        </is>
      </c>
      <c r="B15" s="7" t="n">
        <v>6000</v>
      </c>
      <c r="C15" s="3" t="n"/>
      <c r="D15" s="3" t="n"/>
    </row>
    <row r="19">
      <c r="A19" s="8" t="inlineStr">
        <is>
          <t>Important model discipline</t>
        </is>
      </c>
    </row>
    <row r="20">
      <c r="A20" s="9" t="inlineStr">
        <is>
          <t>Current evidence is separated from assumptions.</t>
        </is>
      </c>
    </row>
    <row r="21">
      <c r="A21" s="9" t="inlineStr">
        <is>
          <t>The original workbook's ADRs are retained as editable draft assumptions.</t>
        </is>
      </c>
    </row>
    <row r="22">
      <c r="A22" s="9" t="inlineStr">
        <is>
          <t>Alpha commission is 0% per current executive direction; post-alpha rates are scenarios.</t>
        </is>
      </c>
    </row>
    <row r="23">
      <c r="A23" s="9" t="inlineStr">
        <is>
          <t>Seed listings are not counted as real commercial supply.</t>
        </is>
      </c>
    </row>
    <row r="24">
      <c r="A24" s="9" t="inlineStr">
        <is>
          <t>Do not use modeled CAC/LTV/breakeven as validated evidence before real transactions.</t>
        </is>
      </c>
    </row>
    <row r="25">
      <c r="A25" s="9" t="inlineStr">
        <is>
          <t>The model is intentionally built to be revised after Alpha evidence arrives.</t>
        </is>
      </c>
    </row>
  </sheetData>
  <mergeCells count="7">
    <mergeCell ref="A23:D23"/>
    <mergeCell ref="A22:D22"/>
    <mergeCell ref="A20:D20"/>
    <mergeCell ref="A21:D21"/>
    <mergeCell ref="A25:D25"/>
    <mergeCell ref="A24:D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5" customWidth="1" min="4" max="4"/>
    <col width="20" customWidth="1" min="5" max="5"/>
    <col width="40" customWidth="1" min="6" max="6"/>
    <col width="20" customWidth="1" min="7" max="7"/>
    <col width="42" customWidth="1" min="8" max="8"/>
  </cols>
  <sheetData>
    <row r="1">
      <c r="A1" s="1" t="inlineStr">
        <is>
          <t>Marketplace Assumptions — Source / Status Controlled</t>
        </is>
      </c>
    </row>
    <row r="3">
      <c r="A3" s="4" t="inlineStr">
        <is>
          <t>Variable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Scenario</t>
        </is>
      </c>
      <c r="E3" s="4" t="inlineStr">
        <is>
          <t>Status</t>
        </is>
      </c>
      <c r="F3" s="4" t="inlineStr">
        <is>
          <t>Source / rationale</t>
        </is>
      </c>
      <c r="G3" s="4" t="inlineStr">
        <is>
          <t>Validation required</t>
        </is>
      </c>
      <c r="H3" s="4" t="inlineStr">
        <is>
          <t>Notes</t>
        </is>
      </c>
    </row>
    <row r="4">
      <c r="A4" s="3" t="inlineStr">
        <is>
          <t>Studio ADR</t>
        </is>
      </c>
      <c r="B4" s="7" t="n">
        <v>1800</v>
      </c>
      <c r="C4" s="3" t="inlineStr">
        <is>
          <t>EGP/night</t>
        </is>
      </c>
      <c r="D4" s="3" t="inlineStr">
        <is>
          <t>Base</t>
        </is>
      </c>
      <c r="E4" s="10" t="inlineStr">
        <is>
          <t>Draft assumption</t>
        </is>
      </c>
      <c r="F4" s="3" t="inlineStr">
        <is>
          <t>Carried from founder-provided Excel</t>
        </is>
      </c>
      <c r="G4" s="3" t="inlineStr">
        <is>
          <t>Yes</t>
        </is>
      </c>
      <c r="H4" s="3" t="inlineStr">
        <is>
          <t>Replace with observed listing prices</t>
        </is>
      </c>
    </row>
    <row r="5">
      <c r="A5" s="3" t="inlineStr">
        <is>
          <t>Apartment ADR</t>
        </is>
      </c>
      <c r="B5" s="7" t="n">
        <v>2500</v>
      </c>
      <c r="C5" s="3" t="inlineStr">
        <is>
          <t>EGP/night</t>
        </is>
      </c>
      <c r="D5" s="3" t="inlineStr">
        <is>
          <t>Base</t>
        </is>
      </c>
      <c r="E5" s="10" t="inlineStr">
        <is>
          <t>Draft assumption</t>
        </is>
      </c>
      <c r="F5" s="3" t="inlineStr">
        <is>
          <t>Carried from founder-provided Excel</t>
        </is>
      </c>
      <c r="G5" s="3" t="inlineStr">
        <is>
          <t>Yes</t>
        </is>
      </c>
      <c r="H5" s="3" t="inlineStr">
        <is>
          <t>Replace with observed listing prices</t>
        </is>
      </c>
    </row>
    <row r="6">
      <c r="A6" s="3" t="inlineStr">
        <is>
          <t>Villa ADR</t>
        </is>
      </c>
      <c r="B6" s="7" t="n">
        <v>6000</v>
      </c>
      <c r="C6" s="3" t="inlineStr">
        <is>
          <t>EGP/night</t>
        </is>
      </c>
      <c r="D6" s="3" t="inlineStr">
        <is>
          <t>Base</t>
        </is>
      </c>
      <c r="E6" s="10" t="inlineStr">
        <is>
          <t>Draft assumption</t>
        </is>
      </c>
      <c r="F6" s="3" t="inlineStr">
        <is>
          <t>Carried from founder-provided Excel</t>
        </is>
      </c>
      <c r="G6" s="3" t="inlineStr">
        <is>
          <t>Yes</t>
        </is>
      </c>
      <c r="H6" s="3" t="inlineStr">
        <is>
          <t>Replace with observed listing prices</t>
        </is>
      </c>
    </row>
    <row r="7">
      <c r="A7" s="3" t="inlineStr">
        <is>
          <t>Studio mix</t>
        </is>
      </c>
      <c r="B7" s="6" t="n">
        <v>0.5</v>
      </c>
      <c r="C7" s="3" t="inlineStr">
        <is>
          <t>% listings</t>
        </is>
      </c>
      <c r="D7" s="3" t="inlineStr">
        <is>
          <t>Base</t>
        </is>
      </c>
      <c r="E7" s="10" t="inlineStr">
        <is>
          <t>Draft assumption</t>
        </is>
      </c>
      <c r="F7" s="3" t="inlineStr">
        <is>
          <t>Model placeholder</t>
        </is>
      </c>
      <c r="G7" s="3" t="inlineStr">
        <is>
          <t>Yes</t>
        </is>
      </c>
      <c r="H7" s="3" t="inlineStr">
        <is>
          <t>Must reconcile to acquired supply</t>
        </is>
      </c>
    </row>
    <row r="8">
      <c r="A8" s="3" t="inlineStr">
        <is>
          <t>Apartment mix</t>
        </is>
      </c>
      <c r="B8" s="6" t="n">
        <v>0.4</v>
      </c>
      <c r="C8" s="3" t="inlineStr">
        <is>
          <t>% listings</t>
        </is>
      </c>
      <c r="D8" s="3" t="inlineStr">
        <is>
          <t>Base</t>
        </is>
      </c>
      <c r="E8" s="10" t="inlineStr">
        <is>
          <t>Draft assumption</t>
        </is>
      </c>
      <c r="F8" s="3" t="inlineStr">
        <is>
          <t>Model placeholder</t>
        </is>
      </c>
      <c r="G8" s="3" t="inlineStr">
        <is>
          <t>Yes</t>
        </is>
      </c>
      <c r="H8" s="3" t="inlineStr">
        <is>
          <t>Must reconcile to acquired supply</t>
        </is>
      </c>
    </row>
    <row r="9">
      <c r="A9" s="3" t="inlineStr">
        <is>
          <t>Villa mix</t>
        </is>
      </c>
      <c r="B9" s="6" t="n">
        <v>0.1</v>
      </c>
      <c r="C9" s="3" t="inlineStr">
        <is>
          <t>% listings</t>
        </is>
      </c>
      <c r="D9" s="3" t="inlineStr">
        <is>
          <t>Base</t>
        </is>
      </c>
      <c r="E9" s="10" t="inlineStr">
        <is>
          <t>Draft assumption</t>
        </is>
      </c>
      <c r="F9" s="3" t="inlineStr">
        <is>
          <t>Model placeholder</t>
        </is>
      </c>
      <c r="G9" s="3" t="inlineStr">
        <is>
          <t>Yes</t>
        </is>
      </c>
      <c r="H9" s="3" t="inlineStr">
        <is>
          <t>Must reconcile to acquired supply</t>
        </is>
      </c>
    </row>
    <row r="10">
      <c r="A10" s="3" t="inlineStr">
        <is>
          <t>Average nights / booking</t>
        </is>
      </c>
      <c r="B10" s="7" t="n">
        <v>2.5</v>
      </c>
      <c r="C10" s="3" t="inlineStr">
        <is>
          <t>nights</t>
        </is>
      </c>
      <c r="D10" s="3" t="inlineStr">
        <is>
          <t>Base</t>
        </is>
      </c>
      <c r="E10" s="10" t="inlineStr">
        <is>
          <t>Draft assumption</t>
        </is>
      </c>
      <c r="F10" s="3" t="inlineStr">
        <is>
          <t>Model placeholder</t>
        </is>
      </c>
      <c r="G10" s="3" t="inlineStr">
        <is>
          <t>Yes</t>
        </is>
      </c>
      <c r="H10" s="3" t="inlineStr">
        <is>
          <t>Not present in source workbook</t>
        </is>
      </c>
    </row>
    <row r="11">
      <c r="A11" s="3" t="inlineStr">
        <is>
          <t>Booking conversion</t>
        </is>
      </c>
      <c r="B11" s="6" t="n">
        <v>0.03</v>
      </c>
      <c r="C11" s="3" t="inlineStr">
        <is>
          <t>% search/qualified demand</t>
        </is>
      </c>
      <c r="D11" s="3" t="inlineStr">
        <is>
          <t>Base</t>
        </is>
      </c>
      <c r="E11" s="10" t="inlineStr">
        <is>
          <t>Draft assumption</t>
        </is>
      </c>
      <c r="F11" s="3" t="inlineStr">
        <is>
          <t>Model placeholder</t>
        </is>
      </c>
      <c r="G11" s="3" t="inlineStr">
        <is>
          <t>Yes</t>
        </is>
      </c>
      <c r="H11" s="3" t="inlineStr">
        <is>
          <t>Replace with alpha evidence</t>
        </is>
      </c>
    </row>
    <row r="12">
      <c r="A12" s="3" t="inlineStr">
        <is>
          <t>Monthly qualified demand</t>
        </is>
      </c>
      <c r="B12" s="7" t="n">
        <v>100</v>
      </c>
      <c r="C12" s="3" t="inlineStr">
        <is>
          <t>qualified users</t>
        </is>
      </c>
      <c r="D12" s="3" t="inlineStr">
        <is>
          <t>Base</t>
        </is>
      </c>
      <c r="E12" s="10" t="inlineStr">
        <is>
          <t>Draft assumption</t>
        </is>
      </c>
      <c r="F12" s="3" t="inlineStr">
        <is>
          <t>Model placeholder</t>
        </is>
      </c>
      <c r="G12" s="3" t="inlineStr">
        <is>
          <t>Yes</t>
        </is>
      </c>
      <c r="H12" s="3" t="inlineStr">
        <is>
          <t>Replace with measured funnel</t>
        </is>
      </c>
    </row>
    <row r="13">
      <c r="A13" s="3" t="inlineStr">
        <is>
          <t>Cancellation rate</t>
        </is>
      </c>
      <c r="B13" s="6" t="n">
        <v>0.05</v>
      </c>
      <c r="C13" s="3" t="inlineStr">
        <is>
          <t>% bookings</t>
        </is>
      </c>
      <c r="D13" s="3" t="inlineStr">
        <is>
          <t>Base</t>
        </is>
      </c>
      <c r="E13" s="10" t="inlineStr">
        <is>
          <t>Draft assumption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Replace with actual</t>
        </is>
      </c>
    </row>
    <row r="14">
      <c r="A14" s="3" t="inlineStr">
        <is>
          <t>Refund / service credit rate</t>
        </is>
      </c>
      <c r="B14" s="6" t="n">
        <v>0.02</v>
      </c>
      <c r="C14" s="3" t="inlineStr">
        <is>
          <t>% GMV</t>
        </is>
      </c>
      <c r="D14" s="3" t="inlineStr">
        <is>
          <t>Base</t>
        </is>
      </c>
      <c r="E14" s="10" t="inlineStr">
        <is>
          <t>Draft assumption</t>
        </is>
      </c>
      <c r="F14" s="3" t="inlineStr">
        <is>
          <t>Model placeholder</t>
        </is>
      </c>
      <c r="G14" s="3" t="inlineStr">
        <is>
          <t>Yes</t>
        </is>
      </c>
      <c r="H14" s="3" t="inlineStr">
        <is>
          <t>Replace with actual</t>
        </is>
      </c>
    </row>
    <row r="15">
      <c r="A15" s="3" t="inlineStr">
        <is>
          <t>Payment processing rate</t>
        </is>
      </c>
      <c r="B15" s="6" t="n">
        <v>0.03</v>
      </c>
      <c r="C15" s="3" t="inlineStr">
        <is>
          <t>% GMV</t>
        </is>
      </c>
      <c r="D15" s="3" t="inlineStr">
        <is>
          <t>Base</t>
        </is>
      </c>
      <c r="E15" s="10" t="inlineStr">
        <is>
          <t>Draft assumption</t>
        </is>
      </c>
      <c r="F15" s="3" t="inlineStr">
        <is>
          <t>Model placeholder</t>
        </is>
      </c>
      <c r="G15" s="3" t="inlineStr">
        <is>
          <t>Yes</t>
        </is>
      </c>
      <c r="H15" s="3" t="inlineStr">
        <is>
          <t>Processor dependent</t>
        </is>
      </c>
    </row>
    <row r="16">
      <c r="A16" s="3" t="inlineStr">
        <is>
          <t>Platform commission — Alpha</t>
        </is>
      </c>
      <c r="B16" s="6" t="n">
        <v>0</v>
      </c>
      <c r="C16" s="3" t="inlineStr">
        <is>
          <t>% GMV</t>
        </is>
      </c>
      <c r="D16" s="3" t="inlineStr">
        <is>
          <t>Alpha</t>
        </is>
      </c>
      <c r="E16" s="11" t="inlineStr">
        <is>
          <t>Current decision</t>
        </is>
      </c>
      <c r="F16" s="3" t="inlineStr">
        <is>
          <t>Current alpha economics</t>
        </is>
      </c>
      <c r="G16" s="3" t="inlineStr">
        <is>
          <t>No</t>
        </is>
      </c>
      <c r="H16" s="3" t="inlineStr">
        <is>
          <t>0% during Alpha</t>
        </is>
      </c>
    </row>
    <row r="17">
      <c r="A17" s="3" t="inlineStr">
        <is>
          <t>Platform commission — Base</t>
        </is>
      </c>
      <c r="B17" s="6" t="n">
        <v>0.1</v>
      </c>
      <c r="C17" s="3" t="inlineStr">
        <is>
          <t>% GMV</t>
        </is>
      </c>
      <c r="D17" s="3" t="inlineStr">
        <is>
          <t>Post-Alpha</t>
        </is>
      </c>
      <c r="E17" s="10" t="inlineStr">
        <is>
          <t>Scenario</t>
        </is>
      </c>
      <c r="F17" s="3" t="inlineStr">
        <is>
          <t>Founder workbook / scenario only</t>
        </is>
      </c>
      <c r="G17" s="3" t="inlineStr">
        <is>
          <t>Yes</t>
        </is>
      </c>
      <c r="H17" s="3" t="inlineStr">
        <is>
          <t>Not validated</t>
        </is>
      </c>
    </row>
    <row r="18">
      <c r="A18" s="3" t="inlineStr">
        <is>
          <t>Platform commission — Upside</t>
        </is>
      </c>
      <c r="B18" s="6" t="n">
        <v>0.12</v>
      </c>
      <c r="C18" s="3" t="inlineStr">
        <is>
          <t>% GMV</t>
        </is>
      </c>
      <c r="D18" s="3" t="inlineStr">
        <is>
          <t>Post-Alpha</t>
        </is>
      </c>
      <c r="E18" s="10" t="inlineStr">
        <is>
          <t>Scenario</t>
        </is>
      </c>
      <c r="F18" s="3" t="inlineStr">
        <is>
          <t>Founder workbook / scenario only</t>
        </is>
      </c>
      <c r="G18" s="3" t="inlineStr">
        <is>
          <t>Yes</t>
        </is>
      </c>
      <c r="H18" s="3" t="inlineStr">
        <is>
          <t>Not validated</t>
        </is>
      </c>
    </row>
    <row r="19">
      <c r="A19" s="3" t="inlineStr">
        <is>
          <t>Platform commission — Downside</t>
        </is>
      </c>
      <c r="B19" s="6" t="n">
        <v>0.08</v>
      </c>
      <c r="C19" s="3" t="inlineStr">
        <is>
          <t>% GMV</t>
        </is>
      </c>
      <c r="D19" s="3" t="inlineStr">
        <is>
          <t>Post-Alpha</t>
        </is>
      </c>
      <c r="E19" s="10" t="inlineStr">
        <is>
          <t>Scenario</t>
        </is>
      </c>
      <c r="F19" s="3" t="inlineStr">
        <is>
          <t>Model scenario</t>
        </is>
      </c>
      <c r="G19" s="3" t="inlineStr">
        <is>
          <t>Yes</t>
        </is>
      </c>
      <c r="H19" s="3" t="inlineStr">
        <is>
          <t>Not validated</t>
        </is>
      </c>
    </row>
    <row r="20">
      <c r="A20" s="3" t="inlineStr">
        <is>
          <t>Starting real bookable listings</t>
        </is>
      </c>
      <c r="B20" s="7" t="n">
        <v>0</v>
      </c>
      <c r="C20" s="3" t="inlineStr">
        <is>
          <t>listings</t>
        </is>
      </c>
      <c r="D20" s="3" t="inlineStr">
        <is>
          <t>Alpha</t>
        </is>
      </c>
      <c r="E20" s="3" t="inlineStr">
        <is>
          <t>Current evidence</t>
        </is>
      </c>
      <c r="F20" s="3" t="inlineStr">
        <is>
          <t>Evidence Freeze: 0 real listings</t>
        </is>
      </c>
      <c r="G20" s="3" t="inlineStr">
        <is>
          <t>No</t>
        </is>
      </c>
      <c r="H20" s="3" t="inlineStr">
        <is>
          <t>Seed listings excluded from commercial supply</t>
        </is>
      </c>
    </row>
    <row r="21">
      <c r="A21" s="3" t="inlineStr">
        <is>
          <t>Alpha target bookings</t>
        </is>
      </c>
      <c r="B21" s="7" t="n">
        <v>7</v>
      </c>
      <c r="C21" s="3" t="inlineStr">
        <is>
          <t>bookings</t>
        </is>
      </c>
      <c r="D21" s="3" t="inlineStr">
        <is>
          <t>Alpha</t>
        </is>
      </c>
      <c r="E21" s="11" t="inlineStr">
        <is>
          <t>Current decision</t>
        </is>
      </c>
      <c r="F21" s="3" t="inlineStr">
        <is>
          <t>Alpha Scorecard / executive decision</t>
        </is>
      </c>
      <c r="G21" s="3" t="inlineStr">
        <is>
          <t>No</t>
        </is>
      </c>
      <c r="H21" s="3" t="inlineStr">
        <is>
          <t>10 only if supply threshold condition is met</t>
        </is>
      </c>
    </row>
    <row r="22">
      <c r="A22" s="3" t="inlineStr">
        <is>
          <t>Monthly payroll</t>
        </is>
      </c>
      <c r="B22" s="7" t="n">
        <v>29000</v>
      </c>
      <c r="C22" s="3" t="inlineStr">
        <is>
          <t>EGP/month</t>
        </is>
      </c>
      <c r="D22" s="3" t="inlineStr">
        <is>
          <t>Base</t>
        </is>
      </c>
      <c r="E22" s="10" t="inlineStr">
        <is>
          <t>Draft assumption</t>
        </is>
      </c>
      <c r="F22" s="3" t="inlineStr">
        <is>
          <t>Carried/normalized from founder workbook</t>
        </is>
      </c>
      <c r="G22" s="3" t="inlineStr">
        <is>
          <t>Yes</t>
        </is>
      </c>
      <c r="H22" s="3" t="inlineStr">
        <is>
          <t>Replace with actual hiring plan</t>
        </is>
      </c>
    </row>
    <row r="23">
      <c r="A23" s="3" t="inlineStr">
        <is>
          <t>Monthly infrastructure</t>
        </is>
      </c>
      <c r="B23" s="7" t="n">
        <v>5000</v>
      </c>
      <c r="C23" s="3" t="inlineStr">
        <is>
          <t>EGP/month</t>
        </is>
      </c>
      <c r="D23" s="3" t="inlineStr">
        <is>
          <t>Base</t>
        </is>
      </c>
      <c r="E23" s="10" t="inlineStr">
        <is>
          <t>Draft assumption</t>
        </is>
      </c>
      <c r="F23" s="3" t="inlineStr">
        <is>
          <t>Carried from founder workbook</t>
        </is>
      </c>
      <c r="G23" s="3" t="inlineStr">
        <is>
          <t>Yes</t>
        </is>
      </c>
      <c r="H23" s="3" t="inlineStr">
        <is>
          <t>Verify Railway/Vercel/other actuals</t>
        </is>
      </c>
    </row>
    <row r="24">
      <c r="A24" s="3" t="inlineStr">
        <is>
          <t>Monthly marketing</t>
        </is>
      </c>
      <c r="B24" s="7" t="n">
        <v>10000</v>
      </c>
      <c r="C24" s="3" t="inlineStr">
        <is>
          <t>EGP/month</t>
        </is>
      </c>
      <c r="D24" s="3" t="inlineStr">
        <is>
          <t>Base</t>
        </is>
      </c>
      <c r="E24" s="10" t="inlineStr">
        <is>
          <t>Draft assumption</t>
        </is>
      </c>
      <c r="F24" s="3" t="inlineStr">
        <is>
          <t>Planning placeholder</t>
        </is>
      </c>
      <c r="G24" s="3" t="inlineStr">
        <is>
          <t>Yes</t>
        </is>
      </c>
      <c r="H24" s="3" t="inlineStr">
        <is>
          <t>Should become CAC-driven</t>
        </is>
      </c>
    </row>
    <row r="25">
      <c r="A25" s="3" t="inlineStr">
        <is>
          <t>Monthly office/admin</t>
        </is>
      </c>
      <c r="B25" s="7" t="n">
        <v>5000</v>
      </c>
      <c r="C25" s="3" t="inlineStr">
        <is>
          <t>EGP/month</t>
        </is>
      </c>
      <c r="D25" s="3" t="inlineStr">
        <is>
          <t>Base</t>
        </is>
      </c>
      <c r="E25" s="10" t="inlineStr">
        <is>
          <t>Draft assumption</t>
        </is>
      </c>
      <c r="F25" s="3" t="inlineStr">
        <is>
          <t>Planning placeholder</t>
        </is>
      </c>
      <c r="G25" s="3" t="inlineStr">
        <is>
          <t>Yes</t>
        </is>
      </c>
      <c r="H25" s="3" t="inlineStr">
        <is>
          <t>Replace with actual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0" customWidth="1" min="8" max="8"/>
    <col width="18" customWidth="1" min="9" max="9"/>
    <col width="48" customWidth="1" min="10" max="10"/>
  </cols>
  <sheetData>
    <row r="1">
      <c r="A1" s="1" t="inlineStr">
        <is>
          <t>Supply Model — Bookable Inventory Ramp</t>
        </is>
      </c>
    </row>
    <row r="3">
      <c r="A3" s="4" t="inlineStr">
        <is>
          <t>Month</t>
        </is>
      </c>
      <c r="B3" s="4" t="inlineStr">
        <is>
          <t>Real bookable listings</t>
        </is>
      </c>
      <c r="C3" s="4" t="inlineStr">
        <is>
          <t>Studio %</t>
        </is>
      </c>
      <c r="D3" s="4" t="inlineStr">
        <is>
          <t>Apartment %</t>
        </is>
      </c>
      <c r="E3" s="4" t="inlineStr">
        <is>
          <t>Villa %</t>
        </is>
      </c>
      <c r="F3" s="4" t="inlineStr">
        <is>
          <t>Studios</t>
        </is>
      </c>
      <c r="G3" s="4" t="inlineStr">
        <is>
          <t>Apartments</t>
        </is>
      </c>
      <c r="H3" s="4" t="inlineStr">
        <is>
          <t>Villas</t>
        </is>
      </c>
      <c r="I3" s="4" t="inlineStr">
        <is>
          <t>Available nights</t>
        </is>
      </c>
      <c r="J3" s="4" t="inlineStr">
        <is>
          <t>Notes</t>
        </is>
      </c>
      <c r="K3" s="12" t="inlineStr"/>
      <c r="L3" s="12" t="inlineStr"/>
      <c r="M3" s="12" t="inlineStr"/>
      <c r="N3" s="12" t="inlineStr"/>
    </row>
    <row r="4">
      <c r="A4" s="3" t="n">
        <v>1</v>
      </c>
      <c r="B4" s="3" t="n">
        <v>0</v>
      </c>
      <c r="C4" s="6">
        <f>02_MARKETPLACE_ASSUMPTIONS!$B$7</f>
        <v/>
      </c>
      <c r="D4" s="6">
        <f>02_MARKETPLACE_ASSUMPTIONS!$B$8</f>
        <v/>
      </c>
      <c r="E4" s="6">
        <f>02_MARKETPLACE_ASSUMPTIONS!$B$9</f>
        <v/>
      </c>
      <c r="F4" s="7">
        <f>B4*C4</f>
        <v/>
      </c>
      <c r="G4" s="7">
        <f>B4*D4</f>
        <v/>
      </c>
      <c r="H4" s="7">
        <f>B4*E4</f>
        <v/>
      </c>
      <c r="I4" s="7">
        <f>B4*30</f>
        <v/>
      </c>
      <c r="J4" s="3" t="inlineStr">
        <is>
          <t>Illustrative ramp — replace with actual acquired listings</t>
        </is>
      </c>
    </row>
    <row r="5">
      <c r="A5" s="3" t="n">
        <v>2</v>
      </c>
      <c r="B5" s="3" t="n">
        <v>0</v>
      </c>
      <c r="C5" s="6">
        <f>02_MARKETPLACE_ASSUMPTIONS!$B$7</f>
        <v/>
      </c>
      <c r="D5" s="6">
        <f>02_MARKETPLACE_ASSUMPTIONS!$B$8</f>
        <v/>
      </c>
      <c r="E5" s="6">
        <f>02_MARKETPLACE_ASSUMPTIONS!$B$9</f>
        <v/>
      </c>
      <c r="F5" s="7">
        <f>B5*C5</f>
        <v/>
      </c>
      <c r="G5" s="7">
        <f>B5*D5</f>
        <v/>
      </c>
      <c r="H5" s="7">
        <f>B5*E5</f>
        <v/>
      </c>
      <c r="I5" s="7">
        <f>B5*30</f>
        <v/>
      </c>
      <c r="J5" s="3" t="inlineStr">
        <is>
          <t>Illustrative ramp — replace with actual acquired listings</t>
        </is>
      </c>
    </row>
    <row r="6">
      <c r="A6" s="3" t="n">
        <v>3</v>
      </c>
      <c r="B6" s="3" t="n">
        <v>3</v>
      </c>
      <c r="C6" s="6">
        <f>02_MARKETPLACE_ASSUMPTIONS!$B$7</f>
        <v/>
      </c>
      <c r="D6" s="6">
        <f>02_MARKETPLACE_ASSUMPTIONS!$B$8</f>
        <v/>
      </c>
      <c r="E6" s="6">
        <f>02_MARKETPLACE_ASSUMPTIONS!$B$9</f>
        <v/>
      </c>
      <c r="F6" s="7">
        <f>B6*C6</f>
        <v/>
      </c>
      <c r="G6" s="7">
        <f>B6*D6</f>
        <v/>
      </c>
      <c r="H6" s="7">
        <f>B6*E6</f>
        <v/>
      </c>
      <c r="I6" s="7">
        <f>B6*30</f>
        <v/>
      </c>
      <c r="J6" s="3" t="inlineStr">
        <is>
          <t>Illustrative ramp — replace with actual acquired listings</t>
        </is>
      </c>
    </row>
    <row r="7">
      <c r="A7" s="3" t="n">
        <v>4</v>
      </c>
      <c r="B7" s="3" t="n">
        <v>3</v>
      </c>
      <c r="C7" s="6">
        <f>02_MARKETPLACE_ASSUMPTIONS!$B$7</f>
        <v/>
      </c>
      <c r="D7" s="6">
        <f>02_MARKETPLACE_ASSUMPTIONS!$B$8</f>
        <v/>
      </c>
      <c r="E7" s="6">
        <f>02_MARKETPLACE_ASSUMPTIONS!$B$9</f>
        <v/>
      </c>
      <c r="F7" s="7">
        <f>B7*C7</f>
        <v/>
      </c>
      <c r="G7" s="7">
        <f>B7*D7</f>
        <v/>
      </c>
      <c r="H7" s="7">
        <f>B7*E7</f>
        <v/>
      </c>
      <c r="I7" s="7">
        <f>B7*30</f>
        <v/>
      </c>
      <c r="J7" s="3" t="inlineStr">
        <is>
          <t>Illustrative ramp — replace with actual acquired listings</t>
        </is>
      </c>
    </row>
    <row r="8">
      <c r="A8" s="3" t="n">
        <v>5</v>
      </c>
      <c r="B8" s="3" t="n">
        <v>5</v>
      </c>
      <c r="C8" s="6">
        <f>02_MARKETPLACE_ASSUMPTIONS!$B$7</f>
        <v/>
      </c>
      <c r="D8" s="6">
        <f>02_MARKETPLACE_ASSUMPTIONS!$B$8</f>
        <v/>
      </c>
      <c r="E8" s="6">
        <f>02_MARKETPLACE_ASSUMPTIONS!$B$9</f>
        <v/>
      </c>
      <c r="F8" s="7">
        <f>B8*C8</f>
        <v/>
      </c>
      <c r="G8" s="7">
        <f>B8*D8</f>
        <v/>
      </c>
      <c r="H8" s="7">
        <f>B8*E8</f>
        <v/>
      </c>
      <c r="I8" s="7">
        <f>B8*30</f>
        <v/>
      </c>
      <c r="J8" s="3" t="inlineStr">
        <is>
          <t>Illustrative ramp — replace with actual acquired listings</t>
        </is>
      </c>
    </row>
    <row r="9">
      <c r="A9" s="3" t="n">
        <v>6</v>
      </c>
      <c r="B9" s="3" t="n">
        <v>5</v>
      </c>
      <c r="C9" s="6">
        <f>02_MARKETPLACE_ASSUMPTIONS!$B$7</f>
        <v/>
      </c>
      <c r="D9" s="6">
        <f>02_MARKETPLACE_ASSUMPTIONS!$B$8</f>
        <v/>
      </c>
      <c r="E9" s="6">
        <f>02_MARKETPLACE_ASSUMPTIONS!$B$9</f>
        <v/>
      </c>
      <c r="F9" s="7">
        <f>B9*C9</f>
        <v/>
      </c>
      <c r="G9" s="7">
        <f>B9*D9</f>
        <v/>
      </c>
      <c r="H9" s="7">
        <f>B9*E9</f>
        <v/>
      </c>
      <c r="I9" s="7">
        <f>B9*30</f>
        <v/>
      </c>
      <c r="J9" s="3" t="inlineStr">
        <is>
          <t>Illustrative ramp — replace with actual acquired listings</t>
        </is>
      </c>
    </row>
    <row r="10">
      <c r="A10" s="3" t="n">
        <v>7</v>
      </c>
      <c r="B10" s="3" t="n">
        <v>7</v>
      </c>
      <c r="C10" s="6">
        <f>02_MARKETPLACE_ASSUMPTIONS!$B$7</f>
        <v/>
      </c>
      <c r="D10" s="6">
        <f>02_MARKETPLACE_ASSUMPTIONS!$B$8</f>
        <v/>
      </c>
      <c r="E10" s="6">
        <f>02_MARKETPLACE_ASSUMPTIONS!$B$9</f>
        <v/>
      </c>
      <c r="F10" s="7">
        <f>B10*C10</f>
        <v/>
      </c>
      <c r="G10" s="7">
        <f>B10*D10</f>
        <v/>
      </c>
      <c r="H10" s="7">
        <f>B10*E10</f>
        <v/>
      </c>
      <c r="I10" s="7">
        <f>B10*30</f>
        <v/>
      </c>
      <c r="J10" s="3" t="inlineStr">
        <is>
          <t>Illustrative ramp — replace with actual acquired listings</t>
        </is>
      </c>
    </row>
    <row r="11">
      <c r="A11" s="3" t="n">
        <v>8</v>
      </c>
      <c r="B11" s="3" t="n">
        <v>7</v>
      </c>
      <c r="C11" s="6">
        <f>02_MARKETPLACE_ASSUMPTIONS!$B$7</f>
        <v/>
      </c>
      <c r="D11" s="6">
        <f>02_MARKETPLACE_ASSUMPTIONS!$B$8</f>
        <v/>
      </c>
      <c r="E11" s="6">
        <f>02_MARKETPLACE_ASSUMPTIONS!$B$9</f>
        <v/>
      </c>
      <c r="F11" s="7">
        <f>B11*C11</f>
        <v/>
      </c>
      <c r="G11" s="7">
        <f>B11*D11</f>
        <v/>
      </c>
      <c r="H11" s="7">
        <f>B11*E11</f>
        <v/>
      </c>
      <c r="I11" s="7">
        <f>B11*30</f>
        <v/>
      </c>
      <c r="J11" s="3" t="inlineStr">
        <is>
          <t>Illustrative ramp — replace with actual acquired listings</t>
        </is>
      </c>
    </row>
    <row r="12">
      <c r="A12" s="3" t="n">
        <v>9</v>
      </c>
      <c r="B12" s="3" t="n">
        <v>10</v>
      </c>
      <c r="C12" s="6">
        <f>02_MARKETPLACE_ASSUMPTIONS!$B$7</f>
        <v/>
      </c>
      <c r="D12" s="6">
        <f>02_MARKETPLACE_ASSUMPTIONS!$B$8</f>
        <v/>
      </c>
      <c r="E12" s="6">
        <f>02_MARKETPLACE_ASSUMPTIONS!$B$9</f>
        <v/>
      </c>
      <c r="F12" s="7">
        <f>B12*C12</f>
        <v/>
      </c>
      <c r="G12" s="7">
        <f>B12*D12</f>
        <v/>
      </c>
      <c r="H12" s="7">
        <f>B12*E12</f>
        <v/>
      </c>
      <c r="I12" s="7">
        <f>B12*30</f>
        <v/>
      </c>
      <c r="J12" s="3" t="inlineStr">
        <is>
          <t>Illustrative ramp — replace with actual acquired listings</t>
        </is>
      </c>
    </row>
    <row r="13">
      <c r="A13" s="3" t="n">
        <v>10</v>
      </c>
      <c r="B13" s="3" t="n">
        <v>10</v>
      </c>
      <c r="C13" s="6">
        <f>02_MARKETPLACE_ASSUMPTIONS!$B$7</f>
        <v/>
      </c>
      <c r="D13" s="6">
        <f>02_MARKETPLACE_ASSUMPTIONS!$B$8</f>
        <v/>
      </c>
      <c r="E13" s="6">
        <f>02_MARKETPLACE_ASSUMPTIONS!$B$9</f>
        <v/>
      </c>
      <c r="F13" s="7">
        <f>B13*C13</f>
        <v/>
      </c>
      <c r="G13" s="7">
        <f>B13*D13</f>
        <v/>
      </c>
      <c r="H13" s="7">
        <f>B13*E13</f>
        <v/>
      </c>
      <c r="I13" s="7">
        <f>B13*30</f>
        <v/>
      </c>
      <c r="J13" s="3" t="inlineStr">
        <is>
          <t>Illustrative ramp — replace with actual acquired listings</t>
        </is>
      </c>
    </row>
    <row r="14">
      <c r="A14" s="3" t="n">
        <v>11</v>
      </c>
      <c r="B14" s="3" t="n">
        <v>12</v>
      </c>
      <c r="C14" s="6">
        <f>02_MARKETPLACE_ASSUMPTIONS!$B$7</f>
        <v/>
      </c>
      <c r="D14" s="6">
        <f>02_MARKETPLACE_ASSUMPTIONS!$B$8</f>
        <v/>
      </c>
      <c r="E14" s="6">
        <f>02_MARKETPLACE_ASSUMPTIONS!$B$9</f>
        <v/>
      </c>
      <c r="F14" s="7">
        <f>B14*C14</f>
        <v/>
      </c>
      <c r="G14" s="7">
        <f>B14*D14</f>
        <v/>
      </c>
      <c r="H14" s="7">
        <f>B14*E14</f>
        <v/>
      </c>
      <c r="I14" s="7">
        <f>B14*30</f>
        <v/>
      </c>
      <c r="J14" s="3" t="inlineStr">
        <is>
          <t>Illustrative ramp — replace with actual acquired listings</t>
        </is>
      </c>
    </row>
    <row r="15">
      <c r="A15" s="3" t="n">
        <v>12</v>
      </c>
      <c r="B15" s="3" t="n">
        <v>12</v>
      </c>
      <c r="C15" s="6">
        <f>02_MARKETPLACE_ASSUMPTIONS!$B$7</f>
        <v/>
      </c>
      <c r="D15" s="6">
        <f>02_MARKETPLACE_ASSUMPTIONS!$B$8</f>
        <v/>
      </c>
      <c r="E15" s="6">
        <f>02_MARKETPLACE_ASSUMPTIONS!$B$9</f>
        <v/>
      </c>
      <c r="F15" s="7">
        <f>B15*C15</f>
        <v/>
      </c>
      <c r="G15" s="7">
        <f>B15*D15</f>
        <v/>
      </c>
      <c r="H15" s="7">
        <f>B15*E15</f>
        <v/>
      </c>
      <c r="I15" s="7">
        <f>B15*30</f>
        <v/>
      </c>
      <c r="J15" s="3" t="inlineStr">
        <is>
          <t>Illustrative ramp — replace with actual acquired listings</t>
        </is>
      </c>
    </row>
    <row r="16">
      <c r="A16" s="3" t="n">
        <v>13</v>
      </c>
      <c r="B16" s="3" t="n">
        <v>15</v>
      </c>
      <c r="C16" s="6">
        <f>02_MARKETPLACE_ASSUMPTIONS!$B$7</f>
        <v/>
      </c>
      <c r="D16" s="6">
        <f>02_MARKETPLACE_ASSUMPTIONS!$B$8</f>
        <v/>
      </c>
      <c r="E16" s="6">
        <f>02_MARKETPLACE_ASSUMPTIONS!$B$9</f>
        <v/>
      </c>
      <c r="F16" s="7">
        <f>B16*C16</f>
        <v/>
      </c>
      <c r="G16" s="7">
        <f>B16*D16</f>
        <v/>
      </c>
      <c r="H16" s="7">
        <f>B16*E16</f>
        <v/>
      </c>
      <c r="I16" s="7">
        <f>B16*30</f>
        <v/>
      </c>
      <c r="J16" s="3" t="inlineStr">
        <is>
          <t>Illustrative ramp — replace with actual acquired listings</t>
        </is>
      </c>
    </row>
    <row r="17">
      <c r="A17" s="3" t="n">
        <v>14</v>
      </c>
      <c r="B17" s="3" t="n">
        <v>15</v>
      </c>
      <c r="C17" s="6">
        <f>02_MARKETPLACE_ASSUMPTIONS!$B$7</f>
        <v/>
      </c>
      <c r="D17" s="6">
        <f>02_MARKETPLACE_ASSUMPTIONS!$B$8</f>
        <v/>
      </c>
      <c r="E17" s="6">
        <f>02_MARKETPLACE_ASSUMPTIONS!$B$9</f>
        <v/>
      </c>
      <c r="F17" s="7">
        <f>B17*C17</f>
        <v/>
      </c>
      <c r="G17" s="7">
        <f>B17*D17</f>
        <v/>
      </c>
      <c r="H17" s="7">
        <f>B17*E17</f>
        <v/>
      </c>
      <c r="I17" s="7">
        <f>B17*30</f>
        <v/>
      </c>
      <c r="J17" s="3" t="inlineStr">
        <is>
          <t>Illustrative ramp — replace with actual acquired listings</t>
        </is>
      </c>
    </row>
    <row r="18">
      <c r="A18" s="3" t="n">
        <v>15</v>
      </c>
      <c r="B18" s="3" t="n">
        <v>18</v>
      </c>
      <c r="C18" s="6">
        <f>02_MARKETPLACE_ASSUMPTIONS!$B$7</f>
        <v/>
      </c>
      <c r="D18" s="6">
        <f>02_MARKETPLACE_ASSUMPTIONS!$B$8</f>
        <v/>
      </c>
      <c r="E18" s="6">
        <f>02_MARKETPLACE_ASSUMPTIONS!$B$9</f>
        <v/>
      </c>
      <c r="F18" s="7">
        <f>B18*C18</f>
        <v/>
      </c>
      <c r="G18" s="7">
        <f>B18*D18</f>
        <v/>
      </c>
      <c r="H18" s="7">
        <f>B18*E18</f>
        <v/>
      </c>
      <c r="I18" s="7">
        <f>B18*30</f>
        <v/>
      </c>
      <c r="J18" s="3" t="inlineStr">
        <is>
          <t>Illustrative ramp — replace with actual acquired listings</t>
        </is>
      </c>
    </row>
    <row r="19">
      <c r="A19" s="3" t="n">
        <v>16</v>
      </c>
      <c r="B19" s="3" t="n">
        <v>18</v>
      </c>
      <c r="C19" s="6">
        <f>02_MARKETPLACE_ASSUMPTIONS!$B$7</f>
        <v/>
      </c>
      <c r="D19" s="6">
        <f>02_MARKETPLACE_ASSUMPTIONS!$B$8</f>
        <v/>
      </c>
      <c r="E19" s="6">
        <f>02_MARKETPLACE_ASSUMPTIONS!$B$9</f>
        <v/>
      </c>
      <c r="F19" s="7">
        <f>B19*C19</f>
        <v/>
      </c>
      <c r="G19" s="7">
        <f>B19*D19</f>
        <v/>
      </c>
      <c r="H19" s="7">
        <f>B19*E19</f>
        <v/>
      </c>
      <c r="I19" s="7">
        <f>B19*30</f>
        <v/>
      </c>
      <c r="J19" s="3" t="inlineStr">
        <is>
          <t>Illustrative ramp — replace with actual acquired listings</t>
        </is>
      </c>
    </row>
    <row r="20">
      <c r="A20" s="3" t="n">
        <v>17</v>
      </c>
      <c r="B20" s="3" t="n">
        <v>22</v>
      </c>
      <c r="C20" s="6">
        <f>02_MARKETPLACE_ASSUMPTIONS!$B$7</f>
        <v/>
      </c>
      <c r="D20" s="6">
        <f>02_MARKETPLACE_ASSUMPTIONS!$B$8</f>
        <v/>
      </c>
      <c r="E20" s="6">
        <f>02_MARKETPLACE_ASSUMPTIONS!$B$9</f>
        <v/>
      </c>
      <c r="F20" s="7">
        <f>B20*C20</f>
        <v/>
      </c>
      <c r="G20" s="7">
        <f>B20*D20</f>
        <v/>
      </c>
      <c r="H20" s="7">
        <f>B20*E20</f>
        <v/>
      </c>
      <c r="I20" s="7">
        <f>B20*30</f>
        <v/>
      </c>
      <c r="J20" s="3" t="inlineStr">
        <is>
          <t>Illustrative ramp — replace with actual acquired listings</t>
        </is>
      </c>
    </row>
    <row r="21">
      <c r="A21" s="3" t="n">
        <v>18</v>
      </c>
      <c r="B21" s="3" t="n">
        <v>22</v>
      </c>
      <c r="C21" s="6">
        <f>02_MARKETPLACE_ASSUMPTIONS!$B$7</f>
        <v/>
      </c>
      <c r="D21" s="6">
        <f>02_MARKETPLACE_ASSUMPTIONS!$B$8</f>
        <v/>
      </c>
      <c r="E21" s="6">
        <f>02_MARKETPLACE_ASSUMPTIONS!$B$9</f>
        <v/>
      </c>
      <c r="F21" s="7">
        <f>B21*C21</f>
        <v/>
      </c>
      <c r="G21" s="7">
        <f>B21*D21</f>
        <v/>
      </c>
      <c r="H21" s="7">
        <f>B21*E21</f>
        <v/>
      </c>
      <c r="I21" s="7">
        <f>B21*30</f>
        <v/>
      </c>
      <c r="J21" s="3" t="inlineStr">
        <is>
          <t>Illustrative ramp — replace with actual acquired listings</t>
        </is>
      </c>
    </row>
    <row r="22">
      <c r="A22" s="3" t="n">
        <v>19</v>
      </c>
      <c r="B22" s="3" t="n">
        <v>25</v>
      </c>
      <c r="C22" s="6">
        <f>02_MARKETPLACE_ASSUMPTIONS!$B$7</f>
        <v/>
      </c>
      <c r="D22" s="6">
        <f>02_MARKETPLACE_ASSUMPTIONS!$B$8</f>
        <v/>
      </c>
      <c r="E22" s="6">
        <f>02_MARKETPLACE_ASSUMPTIONS!$B$9</f>
        <v/>
      </c>
      <c r="F22" s="7">
        <f>B22*C22</f>
        <v/>
      </c>
      <c r="G22" s="7">
        <f>B22*D22</f>
        <v/>
      </c>
      <c r="H22" s="7">
        <f>B22*E22</f>
        <v/>
      </c>
      <c r="I22" s="7">
        <f>B22*30</f>
        <v/>
      </c>
      <c r="J22" s="3" t="inlineStr">
        <is>
          <t>Illustrative ramp — replace with actual acquired listings</t>
        </is>
      </c>
    </row>
    <row r="23">
      <c r="A23" s="3" t="n">
        <v>20</v>
      </c>
      <c r="B23" s="3" t="n">
        <v>25</v>
      </c>
      <c r="C23" s="6">
        <f>02_MARKETPLACE_ASSUMPTIONS!$B$7</f>
        <v/>
      </c>
      <c r="D23" s="6">
        <f>02_MARKETPLACE_ASSUMPTIONS!$B$8</f>
        <v/>
      </c>
      <c r="E23" s="6">
        <f>02_MARKETPLACE_ASSUMPTIONS!$B$9</f>
        <v/>
      </c>
      <c r="F23" s="7">
        <f>B23*C23</f>
        <v/>
      </c>
      <c r="G23" s="7">
        <f>B23*D23</f>
        <v/>
      </c>
      <c r="H23" s="7">
        <f>B23*E23</f>
        <v/>
      </c>
      <c r="I23" s="7">
        <f>B23*30</f>
        <v/>
      </c>
      <c r="J23" s="3" t="inlineStr">
        <is>
          <t>Illustrative ramp — replace with actual acquired listings</t>
        </is>
      </c>
    </row>
    <row r="24">
      <c r="A24" s="3" t="n">
        <v>21</v>
      </c>
      <c r="B24" s="3" t="n">
        <v>30</v>
      </c>
      <c r="C24" s="6">
        <f>02_MARKETPLACE_ASSUMPTIONS!$B$7</f>
        <v/>
      </c>
      <c r="D24" s="6">
        <f>02_MARKETPLACE_ASSUMPTIONS!$B$8</f>
        <v/>
      </c>
      <c r="E24" s="6">
        <f>02_MARKETPLACE_ASSUMPTIONS!$B$9</f>
        <v/>
      </c>
      <c r="F24" s="7">
        <f>B24*C24</f>
        <v/>
      </c>
      <c r="G24" s="7">
        <f>B24*D24</f>
        <v/>
      </c>
      <c r="H24" s="7">
        <f>B24*E24</f>
        <v/>
      </c>
      <c r="I24" s="7">
        <f>B24*30</f>
        <v/>
      </c>
      <c r="J24" s="3" t="inlineStr">
        <is>
          <t>Illustrative ramp — replace with actual acquired listings</t>
        </is>
      </c>
    </row>
    <row r="25">
      <c r="A25" s="3" t="n">
        <v>22</v>
      </c>
      <c r="B25" s="3" t="n">
        <v>30</v>
      </c>
      <c r="C25" s="6">
        <f>02_MARKETPLACE_ASSUMPTIONS!$B$7</f>
        <v/>
      </c>
      <c r="D25" s="6">
        <f>02_MARKETPLACE_ASSUMPTIONS!$B$8</f>
        <v/>
      </c>
      <c r="E25" s="6">
        <f>02_MARKETPLACE_ASSUMPTIONS!$B$9</f>
        <v/>
      </c>
      <c r="F25" s="7">
        <f>B25*C25</f>
        <v/>
      </c>
      <c r="G25" s="7">
        <f>B25*D25</f>
        <v/>
      </c>
      <c r="H25" s="7">
        <f>B25*E25</f>
        <v/>
      </c>
      <c r="I25" s="7">
        <f>B25*30</f>
        <v/>
      </c>
      <c r="J25" s="3" t="inlineStr">
        <is>
          <t>Illustrative ramp — replace with actual acquired listings</t>
        </is>
      </c>
    </row>
    <row r="26">
      <c r="A26" s="3" t="n">
        <v>23</v>
      </c>
      <c r="B26" s="3" t="n">
        <v>35</v>
      </c>
      <c r="C26" s="6">
        <f>02_MARKETPLACE_ASSUMPTIONS!$B$7</f>
        <v/>
      </c>
      <c r="D26" s="6">
        <f>02_MARKETPLACE_ASSUMPTIONS!$B$8</f>
        <v/>
      </c>
      <c r="E26" s="6">
        <f>02_MARKETPLACE_ASSUMPTIONS!$B$9</f>
        <v/>
      </c>
      <c r="F26" s="7">
        <f>B26*C26</f>
        <v/>
      </c>
      <c r="G26" s="7">
        <f>B26*D26</f>
        <v/>
      </c>
      <c r="H26" s="7">
        <f>B26*E26</f>
        <v/>
      </c>
      <c r="I26" s="7">
        <f>B26*30</f>
        <v/>
      </c>
      <c r="J26" s="3" t="inlineStr">
        <is>
          <t>Illustrative ramp — replace with actual acquired listings</t>
        </is>
      </c>
    </row>
    <row r="27">
      <c r="A27" s="3" t="n">
        <v>24</v>
      </c>
      <c r="B27" s="3" t="n">
        <v>40</v>
      </c>
      <c r="C27" s="6">
        <f>02_MARKETPLACE_ASSUMPTIONS!$B$7</f>
        <v/>
      </c>
      <c r="D27" s="6">
        <f>02_MARKETPLACE_ASSUMPTIONS!$B$8</f>
        <v/>
      </c>
      <c r="E27" s="6">
        <f>02_MARKETPLACE_ASSUMPTIONS!$B$9</f>
        <v/>
      </c>
      <c r="F27" s="7">
        <f>B27*C27</f>
        <v/>
      </c>
      <c r="G27" s="7">
        <f>B27*D27</f>
        <v/>
      </c>
      <c r="H27" s="7">
        <f>B27*E27</f>
        <v/>
      </c>
      <c r="I27" s="7">
        <f>B27*30</f>
        <v/>
      </c>
      <c r="J27" s="3" t="inlineStr">
        <is>
          <t>Illustrative ramp — replace with actual acquired listings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20" customWidth="1" min="7" max="7"/>
    <col width="16" customWidth="1" min="8" max="8"/>
    <col width="16" customWidth="1" min="9" max="9"/>
    <col width="16" customWidth="1" min="10" max="10"/>
    <col width="34" customWidth="1" min="11" max="11"/>
  </cols>
  <sheetData>
    <row r="1">
      <c r="A1" s="1" t="inlineStr">
        <is>
          <t>Demand Funnel — From Qualified Demand to Bookings</t>
        </is>
      </c>
    </row>
    <row r="3">
      <c r="A3" s="4" t="inlineStr">
        <is>
          <t>Month</t>
        </is>
      </c>
      <c r="B3" s="4" t="inlineStr">
        <is>
          <t>Qualified demand</t>
        </is>
      </c>
      <c r="C3" s="4" t="inlineStr">
        <is>
          <t>Conversion</t>
        </is>
      </c>
      <c r="D3" s="4" t="inlineStr">
        <is>
          <t>Gross booking intents</t>
        </is>
      </c>
      <c r="E3" s="4" t="inlineStr">
        <is>
          <t>Cancellation rate</t>
        </is>
      </c>
      <c r="F3" s="4" t="inlineStr">
        <is>
          <t>Completed bookings</t>
        </is>
      </c>
      <c r="G3" s="4" t="inlineStr">
        <is>
          <t>Avg nights/booking</t>
        </is>
      </c>
      <c r="H3" s="4" t="inlineStr">
        <is>
          <t>Booked nights</t>
        </is>
      </c>
      <c r="I3" s="4" t="inlineStr">
        <is>
          <t>Avg ADR</t>
        </is>
      </c>
      <c r="J3" s="4" t="inlineStr">
        <is>
          <t>GMV</t>
        </is>
      </c>
      <c r="K3" s="4" t="inlineStr">
        <is>
          <t>Status</t>
        </is>
      </c>
    </row>
    <row r="4">
      <c r="A4" s="3" t="n">
        <v>1</v>
      </c>
      <c r="B4" s="3">
        <f>02_MARKETPLACE_ASSUMPTIONS!$B$12*(1+0.05)^0</f>
        <v/>
      </c>
      <c r="C4" s="6">
        <f>02_MARKETPLACE_ASSUMPTIONS!$B$11</f>
        <v/>
      </c>
      <c r="D4" s="3">
        <f>B4*C4</f>
        <v/>
      </c>
      <c r="E4" s="6">
        <f>02_MARKETPLACE_ASSUMPTIONS!$B$13</f>
        <v/>
      </c>
      <c r="F4" s="3">
        <f>D4*(1-E4)</f>
        <v/>
      </c>
      <c r="G4" s="3">
        <f>02_MARKETPLACE_ASSUMPTIONS!$B$10</f>
        <v/>
      </c>
      <c r="H4" s="3">
        <f>F4*G4</f>
        <v/>
      </c>
      <c r="I4" s="7">
        <f>(02_MARKETPLACE_ASSUMPTIONS!$B$4*02_MARKETPLACE_ASSUMPTIONS!$B$7+02_MARKETPLACE_ASSUMPTIONS!$B$5*02_MARKETPLACE_ASSUMPTIONS!$B$8+02_MARKETPLACE_ASSUMPTIONS!$B$6*02_MARKETPLACE_ASSUMPTIONS!$B$9)</f>
        <v/>
      </c>
      <c r="J4" s="7">
        <f>H4*I4</f>
        <v/>
      </c>
      <c r="K4" s="3" t="inlineStr">
        <is>
          <t>Illustrative — validate in Alpha</t>
        </is>
      </c>
    </row>
    <row r="5">
      <c r="A5" s="3" t="n">
        <v>2</v>
      </c>
      <c r="B5" s="3">
        <f>02_MARKETPLACE_ASSUMPTIONS!$B$12*(1+0.05)^1</f>
        <v/>
      </c>
      <c r="C5" s="6">
        <f>02_MARKETPLACE_ASSUMPTIONS!$B$11</f>
        <v/>
      </c>
      <c r="D5" s="3">
        <f>B5*C5</f>
        <v/>
      </c>
      <c r="E5" s="6">
        <f>02_MARKETPLACE_ASSUMPTIONS!$B$13</f>
        <v/>
      </c>
      <c r="F5" s="3">
        <f>D5*(1-E5)</f>
        <v/>
      </c>
      <c r="G5" s="3">
        <f>02_MARKETPLACE_ASSUMPTIONS!$B$10</f>
        <v/>
      </c>
      <c r="H5" s="3">
        <f>F5*G5</f>
        <v/>
      </c>
      <c r="I5" s="7">
        <f>(02_MARKETPLACE_ASSUMPTIONS!$B$4*02_MARKETPLACE_ASSUMPTIONS!$B$7+02_MARKETPLACE_ASSUMPTIONS!$B$5*02_MARKETPLACE_ASSUMPTIONS!$B$8+02_MARKETPLACE_ASSUMPTIONS!$B$6*02_MARKETPLACE_ASSUMPTIONS!$B$9)</f>
        <v/>
      </c>
      <c r="J5" s="7">
        <f>H5*I5</f>
        <v/>
      </c>
      <c r="K5" s="3" t="inlineStr">
        <is>
          <t>Illustrative — validate in Alpha</t>
        </is>
      </c>
    </row>
    <row r="6">
      <c r="A6" s="3" t="n">
        <v>3</v>
      </c>
      <c r="B6" s="3">
        <f>02_MARKETPLACE_ASSUMPTIONS!$B$12*(1+0.05)^2</f>
        <v/>
      </c>
      <c r="C6" s="6">
        <f>02_MARKETPLACE_ASSUMPTIONS!$B$11</f>
        <v/>
      </c>
      <c r="D6" s="3">
        <f>B6*C6</f>
        <v/>
      </c>
      <c r="E6" s="6">
        <f>02_MARKETPLACE_ASSUMPTIONS!$B$13</f>
        <v/>
      </c>
      <c r="F6" s="3">
        <f>D6*(1-E6)</f>
        <v/>
      </c>
      <c r="G6" s="3">
        <f>02_MARKETPLACE_ASSUMPTIONS!$B$10</f>
        <v/>
      </c>
      <c r="H6" s="3">
        <f>F6*G6</f>
        <v/>
      </c>
      <c r="I6" s="7">
        <f>(02_MARKETPLACE_ASSUMPTIONS!$B$4*02_MARKETPLACE_ASSUMPTIONS!$B$7+02_MARKETPLACE_ASSUMPTIONS!$B$5*02_MARKETPLACE_ASSUMPTIONS!$B$8+02_MARKETPLACE_ASSUMPTIONS!$B$6*02_MARKETPLACE_ASSUMPTIONS!$B$9)</f>
        <v/>
      </c>
      <c r="J6" s="7">
        <f>H6*I6</f>
        <v/>
      </c>
      <c r="K6" s="3" t="inlineStr">
        <is>
          <t>Illustrative — validate in Alpha</t>
        </is>
      </c>
    </row>
    <row r="7">
      <c r="A7" s="3" t="n">
        <v>4</v>
      </c>
      <c r="B7" s="3">
        <f>02_MARKETPLACE_ASSUMPTIONS!$B$12*(1+0.05)^3</f>
        <v/>
      </c>
      <c r="C7" s="6">
        <f>02_MARKETPLACE_ASSUMPTIONS!$B$11</f>
        <v/>
      </c>
      <c r="D7" s="3">
        <f>B7*C7</f>
        <v/>
      </c>
      <c r="E7" s="6">
        <f>02_MARKETPLACE_ASSUMPTIONS!$B$13</f>
        <v/>
      </c>
      <c r="F7" s="3">
        <f>D7*(1-E7)</f>
        <v/>
      </c>
      <c r="G7" s="3">
        <f>02_MARKETPLACE_ASSUMPTIONS!$B$10</f>
        <v/>
      </c>
      <c r="H7" s="3">
        <f>F7*G7</f>
        <v/>
      </c>
      <c r="I7" s="7">
        <f>(02_MARKETPLACE_ASSUMPTIONS!$B$4*02_MARKETPLACE_ASSUMPTIONS!$B$7+02_MARKETPLACE_ASSUMPTIONS!$B$5*02_MARKETPLACE_ASSUMPTIONS!$B$8+02_MARKETPLACE_ASSUMPTIONS!$B$6*02_MARKETPLACE_ASSUMPTIONS!$B$9)</f>
        <v/>
      </c>
      <c r="J7" s="7">
        <f>H7*I7</f>
        <v/>
      </c>
      <c r="K7" s="3" t="inlineStr">
        <is>
          <t>Illustrative — validate in Alpha</t>
        </is>
      </c>
    </row>
    <row r="8">
      <c r="A8" s="3" t="n">
        <v>5</v>
      </c>
      <c r="B8" s="3">
        <f>02_MARKETPLACE_ASSUMPTIONS!$B$12*(1+0.05)^4</f>
        <v/>
      </c>
      <c r="C8" s="6">
        <f>02_MARKETPLACE_ASSUMPTIONS!$B$11</f>
        <v/>
      </c>
      <c r="D8" s="3">
        <f>B8*C8</f>
        <v/>
      </c>
      <c r="E8" s="6">
        <f>02_MARKETPLACE_ASSUMPTIONS!$B$13</f>
        <v/>
      </c>
      <c r="F8" s="3">
        <f>D8*(1-E8)</f>
        <v/>
      </c>
      <c r="G8" s="3">
        <f>02_MARKETPLACE_ASSUMPTIONS!$B$10</f>
        <v/>
      </c>
      <c r="H8" s="3">
        <f>F8*G8</f>
        <v/>
      </c>
      <c r="I8" s="7">
        <f>(02_MARKETPLACE_ASSUMPTIONS!$B$4*02_MARKETPLACE_ASSUMPTIONS!$B$7+02_MARKETPLACE_ASSUMPTIONS!$B$5*02_MARKETPLACE_ASSUMPTIONS!$B$8+02_MARKETPLACE_ASSUMPTIONS!$B$6*02_MARKETPLACE_ASSUMPTIONS!$B$9)</f>
        <v/>
      </c>
      <c r="J8" s="7">
        <f>H8*I8</f>
        <v/>
      </c>
      <c r="K8" s="3" t="inlineStr">
        <is>
          <t>Illustrative — validate in Alpha</t>
        </is>
      </c>
    </row>
    <row r="9">
      <c r="A9" s="3" t="n">
        <v>6</v>
      </c>
      <c r="B9" s="3">
        <f>02_MARKETPLACE_ASSUMPTIONS!$B$12*(1+0.05)^5</f>
        <v/>
      </c>
      <c r="C9" s="6">
        <f>02_MARKETPLACE_ASSUMPTIONS!$B$11</f>
        <v/>
      </c>
      <c r="D9" s="3">
        <f>B9*C9</f>
        <v/>
      </c>
      <c r="E9" s="6">
        <f>02_MARKETPLACE_ASSUMPTIONS!$B$13</f>
        <v/>
      </c>
      <c r="F9" s="3">
        <f>D9*(1-E9)</f>
        <v/>
      </c>
      <c r="G9" s="3">
        <f>02_MARKETPLACE_ASSUMPTIONS!$B$10</f>
        <v/>
      </c>
      <c r="H9" s="3">
        <f>F9*G9</f>
        <v/>
      </c>
      <c r="I9" s="7">
        <f>(02_MARKETPLACE_ASSUMPTIONS!$B$4*02_MARKETPLACE_ASSUMPTIONS!$B$7+02_MARKETPLACE_ASSUMPTIONS!$B$5*02_MARKETPLACE_ASSUMPTIONS!$B$8+02_MARKETPLACE_ASSUMPTIONS!$B$6*02_MARKETPLACE_ASSUMPTIONS!$B$9)</f>
        <v/>
      </c>
      <c r="J9" s="7">
        <f>H9*I9</f>
        <v/>
      </c>
      <c r="K9" s="3" t="inlineStr">
        <is>
          <t>Illustrative — validate in Alpha</t>
        </is>
      </c>
    </row>
    <row r="10">
      <c r="A10" s="3" t="n">
        <v>7</v>
      </c>
      <c r="B10" s="3">
        <f>02_MARKETPLACE_ASSUMPTIONS!$B$12*(1+0.05)^6</f>
        <v/>
      </c>
      <c r="C10" s="6">
        <f>02_MARKETPLACE_ASSUMPTIONS!$B$11</f>
        <v/>
      </c>
      <c r="D10" s="3">
        <f>B10*C10</f>
        <v/>
      </c>
      <c r="E10" s="6">
        <f>02_MARKETPLACE_ASSUMPTIONS!$B$13</f>
        <v/>
      </c>
      <c r="F10" s="3">
        <f>D10*(1-E10)</f>
        <v/>
      </c>
      <c r="G10" s="3">
        <f>02_MARKETPLACE_ASSUMPTIONS!$B$10</f>
        <v/>
      </c>
      <c r="H10" s="3">
        <f>F10*G10</f>
        <v/>
      </c>
      <c r="I10" s="7">
        <f>(02_MARKETPLACE_ASSUMPTIONS!$B$4*02_MARKETPLACE_ASSUMPTIONS!$B$7+02_MARKETPLACE_ASSUMPTIONS!$B$5*02_MARKETPLACE_ASSUMPTIONS!$B$8+02_MARKETPLACE_ASSUMPTIONS!$B$6*02_MARKETPLACE_ASSUMPTIONS!$B$9)</f>
        <v/>
      </c>
      <c r="J10" s="7">
        <f>H10*I10</f>
        <v/>
      </c>
      <c r="K10" s="3" t="inlineStr">
        <is>
          <t>Illustrative — validate in Alpha</t>
        </is>
      </c>
    </row>
    <row r="11">
      <c r="A11" s="3" t="n">
        <v>8</v>
      </c>
      <c r="B11" s="3">
        <f>02_MARKETPLACE_ASSUMPTIONS!$B$12*(1+0.05)^7</f>
        <v/>
      </c>
      <c r="C11" s="6">
        <f>02_MARKETPLACE_ASSUMPTIONS!$B$11</f>
        <v/>
      </c>
      <c r="D11" s="3">
        <f>B11*C11</f>
        <v/>
      </c>
      <c r="E11" s="6">
        <f>02_MARKETPLACE_ASSUMPTIONS!$B$13</f>
        <v/>
      </c>
      <c r="F11" s="3">
        <f>D11*(1-E11)</f>
        <v/>
      </c>
      <c r="G11" s="3">
        <f>02_MARKETPLACE_ASSUMPTIONS!$B$10</f>
        <v/>
      </c>
      <c r="H11" s="3">
        <f>F11*G11</f>
        <v/>
      </c>
      <c r="I11" s="7">
        <f>(02_MARKETPLACE_ASSUMPTIONS!$B$4*02_MARKETPLACE_ASSUMPTIONS!$B$7+02_MARKETPLACE_ASSUMPTIONS!$B$5*02_MARKETPLACE_ASSUMPTIONS!$B$8+02_MARKETPLACE_ASSUMPTIONS!$B$6*02_MARKETPLACE_ASSUMPTIONS!$B$9)</f>
        <v/>
      </c>
      <c r="J11" s="7">
        <f>H11*I11</f>
        <v/>
      </c>
      <c r="K11" s="3" t="inlineStr">
        <is>
          <t>Illustrative — validate in Alpha</t>
        </is>
      </c>
    </row>
    <row r="12">
      <c r="A12" s="3" t="n">
        <v>9</v>
      </c>
      <c r="B12" s="3">
        <f>02_MARKETPLACE_ASSUMPTIONS!$B$12*(1+0.05)^8</f>
        <v/>
      </c>
      <c r="C12" s="6">
        <f>02_MARKETPLACE_ASSUMPTIONS!$B$11</f>
        <v/>
      </c>
      <c r="D12" s="3">
        <f>B12*C12</f>
        <v/>
      </c>
      <c r="E12" s="6">
        <f>02_MARKETPLACE_ASSUMPTIONS!$B$13</f>
        <v/>
      </c>
      <c r="F12" s="3">
        <f>D12*(1-E12)</f>
        <v/>
      </c>
      <c r="G12" s="3">
        <f>02_MARKETPLACE_ASSUMPTIONS!$B$10</f>
        <v/>
      </c>
      <c r="H12" s="3">
        <f>F12*G12</f>
        <v/>
      </c>
      <c r="I12" s="7">
        <f>(02_MARKETPLACE_ASSUMPTIONS!$B$4*02_MARKETPLACE_ASSUMPTIONS!$B$7+02_MARKETPLACE_ASSUMPTIONS!$B$5*02_MARKETPLACE_ASSUMPTIONS!$B$8+02_MARKETPLACE_ASSUMPTIONS!$B$6*02_MARKETPLACE_ASSUMPTIONS!$B$9)</f>
        <v/>
      </c>
      <c r="J12" s="7">
        <f>H12*I12</f>
        <v/>
      </c>
      <c r="K12" s="3" t="inlineStr">
        <is>
          <t>Illustrative — validate in Alpha</t>
        </is>
      </c>
    </row>
    <row r="13">
      <c r="A13" s="3" t="n">
        <v>10</v>
      </c>
      <c r="B13" s="3">
        <f>02_MARKETPLACE_ASSUMPTIONS!$B$12*(1+0.05)^9</f>
        <v/>
      </c>
      <c r="C13" s="6">
        <f>02_MARKETPLACE_ASSUMPTIONS!$B$11</f>
        <v/>
      </c>
      <c r="D13" s="3">
        <f>B13*C13</f>
        <v/>
      </c>
      <c r="E13" s="6">
        <f>02_MARKETPLACE_ASSUMPTIONS!$B$13</f>
        <v/>
      </c>
      <c r="F13" s="3">
        <f>D13*(1-E13)</f>
        <v/>
      </c>
      <c r="G13" s="3">
        <f>02_MARKETPLACE_ASSUMPTIONS!$B$10</f>
        <v/>
      </c>
      <c r="H13" s="3">
        <f>F13*G13</f>
        <v/>
      </c>
      <c r="I13" s="7">
        <f>(02_MARKETPLACE_ASSUMPTIONS!$B$4*02_MARKETPLACE_ASSUMPTIONS!$B$7+02_MARKETPLACE_ASSUMPTIONS!$B$5*02_MARKETPLACE_ASSUMPTIONS!$B$8+02_MARKETPLACE_ASSUMPTIONS!$B$6*02_MARKETPLACE_ASSUMPTIONS!$B$9)</f>
        <v/>
      </c>
      <c r="J13" s="7">
        <f>H13*I13</f>
        <v/>
      </c>
      <c r="K13" s="3" t="inlineStr">
        <is>
          <t>Illustrative — validate in Alpha</t>
        </is>
      </c>
    </row>
    <row r="14">
      <c r="A14" s="3" t="n">
        <v>11</v>
      </c>
      <c r="B14" s="3">
        <f>02_MARKETPLACE_ASSUMPTIONS!$B$12*(1+0.05)^10</f>
        <v/>
      </c>
      <c r="C14" s="6">
        <f>02_MARKETPLACE_ASSUMPTIONS!$B$11</f>
        <v/>
      </c>
      <c r="D14" s="3">
        <f>B14*C14</f>
        <v/>
      </c>
      <c r="E14" s="6">
        <f>02_MARKETPLACE_ASSUMPTIONS!$B$13</f>
        <v/>
      </c>
      <c r="F14" s="3">
        <f>D14*(1-E14)</f>
        <v/>
      </c>
      <c r="G14" s="3">
        <f>02_MARKETPLACE_ASSUMPTIONS!$B$10</f>
        <v/>
      </c>
      <c r="H14" s="3">
        <f>F14*G14</f>
        <v/>
      </c>
      <c r="I14" s="7">
        <f>(02_MARKETPLACE_ASSUMPTIONS!$B$4*02_MARKETPLACE_ASSUMPTIONS!$B$7+02_MARKETPLACE_ASSUMPTIONS!$B$5*02_MARKETPLACE_ASSUMPTIONS!$B$8+02_MARKETPLACE_ASSUMPTIONS!$B$6*02_MARKETPLACE_ASSUMPTIONS!$B$9)</f>
        <v/>
      </c>
      <c r="J14" s="7">
        <f>H14*I14</f>
        <v/>
      </c>
      <c r="K14" s="3" t="inlineStr">
        <is>
          <t>Illustrative — validate in Alpha</t>
        </is>
      </c>
    </row>
    <row r="15">
      <c r="A15" s="3" t="n">
        <v>12</v>
      </c>
      <c r="B15" s="3">
        <f>02_MARKETPLACE_ASSUMPTIONS!$B$12*(1+0.05)^11</f>
        <v/>
      </c>
      <c r="C15" s="6">
        <f>02_MARKETPLACE_ASSUMPTIONS!$B$11</f>
        <v/>
      </c>
      <c r="D15" s="3">
        <f>B15*C15</f>
        <v/>
      </c>
      <c r="E15" s="6">
        <f>02_MARKETPLACE_ASSUMPTIONS!$B$13</f>
        <v/>
      </c>
      <c r="F15" s="3">
        <f>D15*(1-E15)</f>
        <v/>
      </c>
      <c r="G15" s="3">
        <f>02_MARKETPLACE_ASSUMPTIONS!$B$10</f>
        <v/>
      </c>
      <c r="H15" s="3">
        <f>F15*G15</f>
        <v/>
      </c>
      <c r="I15" s="7">
        <f>(02_MARKETPLACE_ASSUMPTIONS!$B$4*02_MARKETPLACE_ASSUMPTIONS!$B$7+02_MARKETPLACE_ASSUMPTIONS!$B$5*02_MARKETPLACE_ASSUMPTIONS!$B$8+02_MARKETPLACE_ASSUMPTIONS!$B$6*02_MARKETPLACE_ASSUMPTIONS!$B$9)</f>
        <v/>
      </c>
      <c r="J15" s="7">
        <f>H15*I15</f>
        <v/>
      </c>
      <c r="K15" s="3" t="inlineStr">
        <is>
          <t>Illustrative — validate in Alpha</t>
        </is>
      </c>
    </row>
    <row r="16">
      <c r="A16" s="3" t="n">
        <v>13</v>
      </c>
      <c r="B16" s="3">
        <f>02_MARKETPLACE_ASSUMPTIONS!$B$12*(1+0.05)^12</f>
        <v/>
      </c>
      <c r="C16" s="6">
        <f>02_MARKETPLACE_ASSUMPTIONS!$B$11</f>
        <v/>
      </c>
      <c r="D16" s="3">
        <f>B16*C16</f>
        <v/>
      </c>
      <c r="E16" s="6">
        <f>02_MARKETPLACE_ASSUMPTIONS!$B$13</f>
        <v/>
      </c>
      <c r="F16" s="3">
        <f>D16*(1-E16)</f>
        <v/>
      </c>
      <c r="G16" s="3">
        <f>02_MARKETPLACE_ASSUMPTIONS!$B$10</f>
        <v/>
      </c>
      <c r="H16" s="3">
        <f>F16*G16</f>
        <v/>
      </c>
      <c r="I16" s="7">
        <f>(02_MARKETPLACE_ASSUMPTIONS!$B$4*02_MARKETPLACE_ASSUMPTIONS!$B$7+02_MARKETPLACE_ASSUMPTIONS!$B$5*02_MARKETPLACE_ASSUMPTIONS!$B$8+02_MARKETPLACE_ASSUMPTIONS!$B$6*02_MARKETPLACE_ASSUMPTIONS!$B$9)</f>
        <v/>
      </c>
      <c r="J16" s="7">
        <f>H16*I16</f>
        <v/>
      </c>
      <c r="K16" s="3" t="inlineStr">
        <is>
          <t>Illustrative — validate in Alpha</t>
        </is>
      </c>
    </row>
    <row r="17">
      <c r="A17" s="3" t="n">
        <v>14</v>
      </c>
      <c r="B17" s="3">
        <f>02_MARKETPLACE_ASSUMPTIONS!$B$12*(1+0.05)^13</f>
        <v/>
      </c>
      <c r="C17" s="6">
        <f>02_MARKETPLACE_ASSUMPTIONS!$B$11</f>
        <v/>
      </c>
      <c r="D17" s="3">
        <f>B17*C17</f>
        <v/>
      </c>
      <c r="E17" s="6">
        <f>02_MARKETPLACE_ASSUMPTIONS!$B$13</f>
        <v/>
      </c>
      <c r="F17" s="3">
        <f>D17*(1-E17)</f>
        <v/>
      </c>
      <c r="G17" s="3">
        <f>02_MARKETPLACE_ASSUMPTIONS!$B$10</f>
        <v/>
      </c>
      <c r="H17" s="3">
        <f>F17*G17</f>
        <v/>
      </c>
      <c r="I17" s="7">
        <f>(02_MARKETPLACE_ASSUMPTIONS!$B$4*02_MARKETPLACE_ASSUMPTIONS!$B$7+02_MARKETPLACE_ASSUMPTIONS!$B$5*02_MARKETPLACE_ASSUMPTIONS!$B$8+02_MARKETPLACE_ASSUMPTIONS!$B$6*02_MARKETPLACE_ASSUMPTIONS!$B$9)</f>
        <v/>
      </c>
      <c r="J17" s="7">
        <f>H17*I17</f>
        <v/>
      </c>
      <c r="K17" s="3" t="inlineStr">
        <is>
          <t>Illustrative — validate in Alpha</t>
        </is>
      </c>
    </row>
    <row r="18">
      <c r="A18" s="3" t="n">
        <v>15</v>
      </c>
      <c r="B18" s="3">
        <f>02_MARKETPLACE_ASSUMPTIONS!$B$12*(1+0.05)^14</f>
        <v/>
      </c>
      <c r="C18" s="6">
        <f>02_MARKETPLACE_ASSUMPTIONS!$B$11</f>
        <v/>
      </c>
      <c r="D18" s="3">
        <f>B18*C18</f>
        <v/>
      </c>
      <c r="E18" s="6">
        <f>02_MARKETPLACE_ASSUMPTIONS!$B$13</f>
        <v/>
      </c>
      <c r="F18" s="3">
        <f>D18*(1-E18)</f>
        <v/>
      </c>
      <c r="G18" s="3">
        <f>02_MARKETPLACE_ASSUMPTIONS!$B$10</f>
        <v/>
      </c>
      <c r="H18" s="3">
        <f>F18*G18</f>
        <v/>
      </c>
      <c r="I18" s="7">
        <f>(02_MARKETPLACE_ASSUMPTIONS!$B$4*02_MARKETPLACE_ASSUMPTIONS!$B$7+02_MARKETPLACE_ASSUMPTIONS!$B$5*02_MARKETPLACE_ASSUMPTIONS!$B$8+02_MARKETPLACE_ASSUMPTIONS!$B$6*02_MARKETPLACE_ASSUMPTIONS!$B$9)</f>
        <v/>
      </c>
      <c r="J18" s="7">
        <f>H18*I18</f>
        <v/>
      </c>
      <c r="K18" s="3" t="inlineStr">
        <is>
          <t>Illustrative — validate in Alpha</t>
        </is>
      </c>
    </row>
    <row r="19">
      <c r="A19" s="3" t="n">
        <v>16</v>
      </c>
      <c r="B19" s="3">
        <f>02_MARKETPLACE_ASSUMPTIONS!$B$12*(1+0.05)^15</f>
        <v/>
      </c>
      <c r="C19" s="6">
        <f>02_MARKETPLACE_ASSUMPTIONS!$B$11</f>
        <v/>
      </c>
      <c r="D19" s="3">
        <f>B19*C19</f>
        <v/>
      </c>
      <c r="E19" s="6">
        <f>02_MARKETPLACE_ASSUMPTIONS!$B$13</f>
        <v/>
      </c>
      <c r="F19" s="3">
        <f>D19*(1-E19)</f>
        <v/>
      </c>
      <c r="G19" s="3">
        <f>02_MARKETPLACE_ASSUMPTIONS!$B$10</f>
        <v/>
      </c>
      <c r="H19" s="3">
        <f>F19*G19</f>
        <v/>
      </c>
      <c r="I19" s="7">
        <f>(02_MARKETPLACE_ASSUMPTIONS!$B$4*02_MARKETPLACE_ASSUMPTIONS!$B$7+02_MARKETPLACE_ASSUMPTIONS!$B$5*02_MARKETPLACE_ASSUMPTIONS!$B$8+02_MARKETPLACE_ASSUMPTIONS!$B$6*02_MARKETPLACE_ASSUMPTIONS!$B$9)</f>
        <v/>
      </c>
      <c r="J19" s="7">
        <f>H19*I19</f>
        <v/>
      </c>
      <c r="K19" s="3" t="inlineStr">
        <is>
          <t>Illustrative — validate in Alpha</t>
        </is>
      </c>
    </row>
    <row r="20">
      <c r="A20" s="3" t="n">
        <v>17</v>
      </c>
      <c r="B20" s="3">
        <f>02_MARKETPLACE_ASSUMPTIONS!$B$12*(1+0.05)^16</f>
        <v/>
      </c>
      <c r="C20" s="6">
        <f>02_MARKETPLACE_ASSUMPTIONS!$B$11</f>
        <v/>
      </c>
      <c r="D20" s="3">
        <f>B20*C20</f>
        <v/>
      </c>
      <c r="E20" s="6">
        <f>02_MARKETPLACE_ASSUMPTIONS!$B$13</f>
        <v/>
      </c>
      <c r="F20" s="3">
        <f>D20*(1-E20)</f>
        <v/>
      </c>
      <c r="G20" s="3">
        <f>02_MARKETPLACE_ASSUMPTIONS!$B$10</f>
        <v/>
      </c>
      <c r="H20" s="3">
        <f>F20*G20</f>
        <v/>
      </c>
      <c r="I20" s="7">
        <f>(02_MARKETPLACE_ASSUMPTIONS!$B$4*02_MARKETPLACE_ASSUMPTIONS!$B$7+02_MARKETPLACE_ASSUMPTIONS!$B$5*02_MARKETPLACE_ASSUMPTIONS!$B$8+02_MARKETPLACE_ASSUMPTIONS!$B$6*02_MARKETPLACE_ASSUMPTIONS!$B$9)</f>
        <v/>
      </c>
      <c r="J20" s="7">
        <f>H20*I20</f>
        <v/>
      </c>
      <c r="K20" s="3" t="inlineStr">
        <is>
          <t>Illustrative — validate in Alpha</t>
        </is>
      </c>
    </row>
    <row r="21">
      <c r="A21" s="3" t="n">
        <v>18</v>
      </c>
      <c r="B21" s="3">
        <f>02_MARKETPLACE_ASSUMPTIONS!$B$12*(1+0.05)^17</f>
        <v/>
      </c>
      <c r="C21" s="6">
        <f>02_MARKETPLACE_ASSUMPTIONS!$B$11</f>
        <v/>
      </c>
      <c r="D21" s="3">
        <f>B21*C21</f>
        <v/>
      </c>
      <c r="E21" s="6">
        <f>02_MARKETPLACE_ASSUMPTIONS!$B$13</f>
        <v/>
      </c>
      <c r="F21" s="3">
        <f>D21*(1-E21)</f>
        <v/>
      </c>
      <c r="G21" s="3">
        <f>02_MARKETPLACE_ASSUMPTIONS!$B$10</f>
        <v/>
      </c>
      <c r="H21" s="3">
        <f>F21*G21</f>
        <v/>
      </c>
      <c r="I21" s="7">
        <f>(02_MARKETPLACE_ASSUMPTIONS!$B$4*02_MARKETPLACE_ASSUMPTIONS!$B$7+02_MARKETPLACE_ASSUMPTIONS!$B$5*02_MARKETPLACE_ASSUMPTIONS!$B$8+02_MARKETPLACE_ASSUMPTIONS!$B$6*02_MARKETPLACE_ASSUMPTIONS!$B$9)</f>
        <v/>
      </c>
      <c r="J21" s="7">
        <f>H21*I21</f>
        <v/>
      </c>
      <c r="K21" s="3" t="inlineStr">
        <is>
          <t>Illustrative — validate in Alpha</t>
        </is>
      </c>
    </row>
    <row r="22">
      <c r="A22" s="3" t="n">
        <v>19</v>
      </c>
      <c r="B22" s="3">
        <f>02_MARKETPLACE_ASSUMPTIONS!$B$12*(1+0.05)^18</f>
        <v/>
      </c>
      <c r="C22" s="6">
        <f>02_MARKETPLACE_ASSUMPTIONS!$B$11</f>
        <v/>
      </c>
      <c r="D22" s="3">
        <f>B22*C22</f>
        <v/>
      </c>
      <c r="E22" s="6">
        <f>02_MARKETPLACE_ASSUMPTIONS!$B$13</f>
        <v/>
      </c>
      <c r="F22" s="3">
        <f>D22*(1-E22)</f>
        <v/>
      </c>
      <c r="G22" s="3">
        <f>02_MARKETPLACE_ASSUMPTIONS!$B$10</f>
        <v/>
      </c>
      <c r="H22" s="3">
        <f>F22*G22</f>
        <v/>
      </c>
      <c r="I22" s="7">
        <f>(02_MARKETPLACE_ASSUMPTIONS!$B$4*02_MARKETPLACE_ASSUMPTIONS!$B$7+02_MARKETPLACE_ASSUMPTIONS!$B$5*02_MARKETPLACE_ASSUMPTIONS!$B$8+02_MARKETPLACE_ASSUMPTIONS!$B$6*02_MARKETPLACE_ASSUMPTIONS!$B$9)</f>
        <v/>
      </c>
      <c r="J22" s="7">
        <f>H22*I22</f>
        <v/>
      </c>
      <c r="K22" s="3" t="inlineStr">
        <is>
          <t>Illustrative — validate in Alpha</t>
        </is>
      </c>
    </row>
    <row r="23">
      <c r="A23" s="3" t="n">
        <v>20</v>
      </c>
      <c r="B23" s="3">
        <f>02_MARKETPLACE_ASSUMPTIONS!$B$12*(1+0.05)^19</f>
        <v/>
      </c>
      <c r="C23" s="6">
        <f>02_MARKETPLACE_ASSUMPTIONS!$B$11</f>
        <v/>
      </c>
      <c r="D23" s="3">
        <f>B23*C23</f>
        <v/>
      </c>
      <c r="E23" s="6">
        <f>02_MARKETPLACE_ASSUMPTIONS!$B$13</f>
        <v/>
      </c>
      <c r="F23" s="3">
        <f>D23*(1-E23)</f>
        <v/>
      </c>
      <c r="G23" s="3">
        <f>02_MARKETPLACE_ASSUMPTIONS!$B$10</f>
        <v/>
      </c>
      <c r="H23" s="3">
        <f>F23*G23</f>
        <v/>
      </c>
      <c r="I23" s="7">
        <f>(02_MARKETPLACE_ASSUMPTIONS!$B$4*02_MARKETPLACE_ASSUMPTIONS!$B$7+02_MARKETPLACE_ASSUMPTIONS!$B$5*02_MARKETPLACE_ASSUMPTIONS!$B$8+02_MARKETPLACE_ASSUMPTIONS!$B$6*02_MARKETPLACE_ASSUMPTIONS!$B$9)</f>
        <v/>
      </c>
      <c r="J23" s="7">
        <f>H23*I23</f>
        <v/>
      </c>
      <c r="K23" s="3" t="inlineStr">
        <is>
          <t>Illustrative — validate in Alpha</t>
        </is>
      </c>
    </row>
    <row r="24">
      <c r="A24" s="3" t="n">
        <v>21</v>
      </c>
      <c r="B24" s="3">
        <f>02_MARKETPLACE_ASSUMPTIONS!$B$12*(1+0.05)^20</f>
        <v/>
      </c>
      <c r="C24" s="6">
        <f>02_MARKETPLACE_ASSUMPTIONS!$B$11</f>
        <v/>
      </c>
      <c r="D24" s="3">
        <f>B24*C24</f>
        <v/>
      </c>
      <c r="E24" s="6">
        <f>02_MARKETPLACE_ASSUMPTIONS!$B$13</f>
        <v/>
      </c>
      <c r="F24" s="3">
        <f>D24*(1-E24)</f>
        <v/>
      </c>
      <c r="G24" s="3">
        <f>02_MARKETPLACE_ASSUMPTIONS!$B$10</f>
        <v/>
      </c>
      <c r="H24" s="3">
        <f>F24*G24</f>
        <v/>
      </c>
      <c r="I24" s="7">
        <f>(02_MARKETPLACE_ASSUMPTIONS!$B$4*02_MARKETPLACE_ASSUMPTIONS!$B$7+02_MARKETPLACE_ASSUMPTIONS!$B$5*02_MARKETPLACE_ASSUMPTIONS!$B$8+02_MARKETPLACE_ASSUMPTIONS!$B$6*02_MARKETPLACE_ASSUMPTIONS!$B$9)</f>
        <v/>
      </c>
      <c r="J24" s="7">
        <f>H24*I24</f>
        <v/>
      </c>
      <c r="K24" s="3" t="inlineStr">
        <is>
          <t>Illustrative — validate in Alpha</t>
        </is>
      </c>
    </row>
    <row r="25">
      <c r="A25" s="3" t="n">
        <v>22</v>
      </c>
      <c r="B25" s="3">
        <f>02_MARKETPLACE_ASSUMPTIONS!$B$12*(1+0.05)^21</f>
        <v/>
      </c>
      <c r="C25" s="6">
        <f>02_MARKETPLACE_ASSUMPTIONS!$B$11</f>
        <v/>
      </c>
      <c r="D25" s="3">
        <f>B25*C25</f>
        <v/>
      </c>
      <c r="E25" s="6">
        <f>02_MARKETPLACE_ASSUMPTIONS!$B$13</f>
        <v/>
      </c>
      <c r="F25" s="3">
        <f>D25*(1-E25)</f>
        <v/>
      </c>
      <c r="G25" s="3">
        <f>02_MARKETPLACE_ASSUMPTIONS!$B$10</f>
        <v/>
      </c>
      <c r="H25" s="3">
        <f>F25*G25</f>
        <v/>
      </c>
      <c r="I25" s="7">
        <f>(02_MARKETPLACE_ASSUMPTIONS!$B$4*02_MARKETPLACE_ASSUMPTIONS!$B$7+02_MARKETPLACE_ASSUMPTIONS!$B$5*02_MARKETPLACE_ASSUMPTIONS!$B$8+02_MARKETPLACE_ASSUMPTIONS!$B$6*02_MARKETPLACE_ASSUMPTIONS!$B$9)</f>
        <v/>
      </c>
      <c r="J25" s="7">
        <f>H25*I25</f>
        <v/>
      </c>
      <c r="K25" s="3" t="inlineStr">
        <is>
          <t>Illustrative — validate in Alpha</t>
        </is>
      </c>
    </row>
    <row r="26">
      <c r="A26" s="3" t="n">
        <v>23</v>
      </c>
      <c r="B26" s="3">
        <f>02_MARKETPLACE_ASSUMPTIONS!$B$12*(1+0.05)^22</f>
        <v/>
      </c>
      <c r="C26" s="6">
        <f>02_MARKETPLACE_ASSUMPTIONS!$B$11</f>
        <v/>
      </c>
      <c r="D26" s="3">
        <f>B26*C26</f>
        <v/>
      </c>
      <c r="E26" s="6">
        <f>02_MARKETPLACE_ASSUMPTIONS!$B$13</f>
        <v/>
      </c>
      <c r="F26" s="3">
        <f>D26*(1-E26)</f>
        <v/>
      </c>
      <c r="G26" s="3">
        <f>02_MARKETPLACE_ASSUMPTIONS!$B$10</f>
        <v/>
      </c>
      <c r="H26" s="3">
        <f>F26*G26</f>
        <v/>
      </c>
      <c r="I26" s="7">
        <f>(02_MARKETPLACE_ASSUMPTIONS!$B$4*02_MARKETPLACE_ASSUMPTIONS!$B$7+02_MARKETPLACE_ASSUMPTIONS!$B$5*02_MARKETPLACE_ASSUMPTIONS!$B$8+02_MARKETPLACE_ASSUMPTIONS!$B$6*02_MARKETPLACE_ASSUMPTIONS!$B$9)</f>
        <v/>
      </c>
      <c r="J26" s="7">
        <f>H26*I26</f>
        <v/>
      </c>
      <c r="K26" s="3" t="inlineStr">
        <is>
          <t>Illustrative — validate in Alpha</t>
        </is>
      </c>
    </row>
    <row r="27">
      <c r="A27" s="3" t="n">
        <v>24</v>
      </c>
      <c r="B27" s="3">
        <f>02_MARKETPLACE_ASSUMPTIONS!$B$12*(1+0.05)^23</f>
        <v/>
      </c>
      <c r="C27" s="6">
        <f>02_MARKETPLACE_ASSUMPTIONS!$B$11</f>
        <v/>
      </c>
      <c r="D27" s="3">
        <f>B27*C27</f>
        <v/>
      </c>
      <c r="E27" s="6">
        <f>02_MARKETPLACE_ASSUMPTIONS!$B$13</f>
        <v/>
      </c>
      <c r="F27" s="3">
        <f>D27*(1-E27)</f>
        <v/>
      </c>
      <c r="G27" s="3">
        <f>02_MARKETPLACE_ASSUMPTIONS!$B$10</f>
        <v/>
      </c>
      <c r="H27" s="3">
        <f>F27*G27</f>
        <v/>
      </c>
      <c r="I27" s="7">
        <f>(02_MARKETPLACE_ASSUMPTIONS!$B$4*02_MARKETPLACE_ASSUMPTIONS!$B$7+02_MARKETPLACE_ASSUMPTIONS!$B$5*02_MARKETPLACE_ASSUMPTIONS!$B$8+02_MARKETPLACE_ASSUMPTIONS!$B$6*02_MARKETPLACE_ASSUMPTIONS!$B$9)</f>
        <v/>
      </c>
      <c r="J27" s="7">
        <f>H27*I27</f>
        <v/>
      </c>
      <c r="K27" s="3" t="inlineStr">
        <is>
          <t>Illustrative — validate in Alpha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16" customWidth="1" min="9" max="9"/>
    <col width="18" customWidth="1" min="10" max="10"/>
    <col width="20" customWidth="1" min="11" max="11"/>
    <col width="50" customWidth="1" min="12" max="12"/>
  </cols>
  <sheetData>
    <row r="1">
      <c r="A1" s="1" t="inlineStr">
        <is>
          <t>Booking Model — Supply Capacity vs Demand</t>
        </is>
      </c>
    </row>
    <row r="3">
      <c r="A3" s="4" t="inlineStr">
        <is>
          <t>Month</t>
        </is>
      </c>
      <c r="B3" s="4" t="inlineStr">
        <is>
          <t>Bookable listings</t>
        </is>
      </c>
      <c r="C3" s="4" t="inlineStr">
        <is>
          <t>Available nights</t>
        </is>
      </c>
      <c r="D3" s="4" t="inlineStr">
        <is>
          <t>Demand booked nights</t>
        </is>
      </c>
      <c r="E3" s="4" t="inlineStr">
        <is>
          <t>Capacity utilization</t>
        </is>
      </c>
      <c r="F3" s="4" t="inlineStr">
        <is>
          <t>Completed bookings</t>
        </is>
      </c>
      <c r="G3" s="4" t="inlineStr">
        <is>
          <t>Avg nights/booking</t>
        </is>
      </c>
      <c r="H3" s="4" t="inlineStr">
        <is>
          <t>GMV</t>
        </is>
      </c>
      <c r="I3" s="4" t="inlineStr">
        <is>
          <t>ADR</t>
        </is>
      </c>
      <c r="J3" s="4" t="inlineStr">
        <is>
          <t>Unserved demand</t>
        </is>
      </c>
      <c r="K3" s="4" t="inlineStr">
        <is>
          <t>Alpha target status</t>
        </is>
      </c>
      <c r="L3" s="4" t="inlineStr">
        <is>
          <t>Notes</t>
        </is>
      </c>
    </row>
    <row r="4">
      <c r="A4" s="3" t="n">
        <v>1</v>
      </c>
      <c r="B4" s="3">
        <f>03_SUPPLY_MODEL!B4</f>
        <v/>
      </c>
      <c r="C4" s="3">
        <f>03_SUPPLY_MODEL!I4</f>
        <v/>
      </c>
      <c r="D4" s="3">
        <f>04_DEMAND_MODEL!H4</f>
        <v/>
      </c>
      <c r="E4" s="6">
        <f>IF(C4=0,0,D4/C4)</f>
        <v/>
      </c>
      <c r="F4" s="3">
        <f>04_DEMAND_MODEL!F4</f>
        <v/>
      </c>
      <c r="G4" s="3">
        <f>04_DEMAND_MODEL!G4</f>
        <v/>
      </c>
      <c r="H4" s="7">
        <f>04_DEMAND_MODEL!J4</f>
        <v/>
      </c>
      <c r="I4" s="7">
        <f>04_DEMAND_MODEL!I4</f>
        <v/>
      </c>
      <c r="J4" s="3">
        <f>MAX(0,04_DEMAND_MODEL!D4-F4)</f>
        <v/>
      </c>
      <c r="K4" s="3">
        <f>IF(SUM($F$4:F4)&gt;=02_MARKETPLACE_ASSUMPTIONS!$B$21,"TARGET REACHED","IN PROGRESS")</f>
        <v/>
      </c>
      <c r="L4" s="3" t="inlineStr">
        <is>
          <t>Capacity is a planning model; replace with actual availability after supply acquisition</t>
        </is>
      </c>
    </row>
    <row r="5">
      <c r="A5" s="3" t="n">
        <v>2</v>
      </c>
      <c r="B5" s="3">
        <f>03_SUPPLY_MODEL!B5</f>
        <v/>
      </c>
      <c r="C5" s="3">
        <f>03_SUPPLY_MODEL!I5</f>
        <v/>
      </c>
      <c r="D5" s="3">
        <f>04_DEMAND_MODEL!H5</f>
        <v/>
      </c>
      <c r="E5" s="6">
        <f>IF(C5=0,0,D5/C5)</f>
        <v/>
      </c>
      <c r="F5" s="3">
        <f>04_DEMAND_MODEL!F5</f>
        <v/>
      </c>
      <c r="G5" s="3">
        <f>04_DEMAND_MODEL!G5</f>
        <v/>
      </c>
      <c r="H5" s="7">
        <f>04_DEMAND_MODEL!J5</f>
        <v/>
      </c>
      <c r="I5" s="7">
        <f>04_DEMAND_MODEL!I5</f>
        <v/>
      </c>
      <c r="J5" s="3">
        <f>MAX(0,04_DEMAND_MODEL!D5-F5)</f>
        <v/>
      </c>
      <c r="K5" s="3">
        <f>IF(SUM($F$4:F5)&gt;=02_MARKETPLACE_ASSUMPTIONS!$B$21,"TARGET REACHED","IN PROGRESS")</f>
        <v/>
      </c>
      <c r="L5" s="3" t="inlineStr">
        <is>
          <t>Capacity is a planning model; replace with actual availability after supply acquisition</t>
        </is>
      </c>
    </row>
    <row r="6">
      <c r="A6" s="3" t="n">
        <v>3</v>
      </c>
      <c r="B6" s="3">
        <f>03_SUPPLY_MODEL!B6</f>
        <v/>
      </c>
      <c r="C6" s="3">
        <f>03_SUPPLY_MODEL!I6</f>
        <v/>
      </c>
      <c r="D6" s="3">
        <f>04_DEMAND_MODEL!H6</f>
        <v/>
      </c>
      <c r="E6" s="6">
        <f>IF(C6=0,0,D6/C6)</f>
        <v/>
      </c>
      <c r="F6" s="3">
        <f>04_DEMAND_MODEL!F6</f>
        <v/>
      </c>
      <c r="G6" s="3">
        <f>04_DEMAND_MODEL!G6</f>
        <v/>
      </c>
      <c r="H6" s="7">
        <f>04_DEMAND_MODEL!J6</f>
        <v/>
      </c>
      <c r="I6" s="7">
        <f>04_DEMAND_MODEL!I6</f>
        <v/>
      </c>
      <c r="J6" s="3">
        <f>MAX(0,04_DEMAND_MODEL!D6-F6)</f>
        <v/>
      </c>
      <c r="K6" s="3">
        <f>IF(SUM($F$4:F6)&gt;=02_MARKETPLACE_ASSUMPTIONS!$B$21,"TARGET REACHED","IN PROGRESS")</f>
        <v/>
      </c>
      <c r="L6" s="3" t="inlineStr">
        <is>
          <t>Capacity is a planning model; replace with actual availability after supply acquisition</t>
        </is>
      </c>
    </row>
    <row r="7">
      <c r="A7" s="3" t="n">
        <v>4</v>
      </c>
      <c r="B7" s="3">
        <f>03_SUPPLY_MODEL!B7</f>
        <v/>
      </c>
      <c r="C7" s="3">
        <f>03_SUPPLY_MODEL!I7</f>
        <v/>
      </c>
      <c r="D7" s="3">
        <f>04_DEMAND_MODEL!H7</f>
        <v/>
      </c>
      <c r="E7" s="6">
        <f>IF(C7=0,0,D7/C7)</f>
        <v/>
      </c>
      <c r="F7" s="3">
        <f>04_DEMAND_MODEL!F7</f>
        <v/>
      </c>
      <c r="G7" s="3">
        <f>04_DEMAND_MODEL!G7</f>
        <v/>
      </c>
      <c r="H7" s="7">
        <f>04_DEMAND_MODEL!J7</f>
        <v/>
      </c>
      <c r="I7" s="7">
        <f>04_DEMAND_MODEL!I7</f>
        <v/>
      </c>
      <c r="J7" s="3">
        <f>MAX(0,04_DEMAND_MODEL!D7-F7)</f>
        <v/>
      </c>
      <c r="K7" s="3">
        <f>IF(SUM($F$4:F7)&gt;=02_MARKETPLACE_ASSUMPTIONS!$B$21,"TARGET REACHED","IN PROGRESS")</f>
        <v/>
      </c>
      <c r="L7" s="3" t="inlineStr">
        <is>
          <t>Capacity is a planning model; replace with actual availability after supply acquisition</t>
        </is>
      </c>
    </row>
    <row r="8">
      <c r="A8" s="3" t="n">
        <v>5</v>
      </c>
      <c r="B8" s="3">
        <f>03_SUPPLY_MODEL!B8</f>
        <v/>
      </c>
      <c r="C8" s="3">
        <f>03_SUPPLY_MODEL!I8</f>
        <v/>
      </c>
      <c r="D8" s="3">
        <f>04_DEMAND_MODEL!H8</f>
        <v/>
      </c>
      <c r="E8" s="6">
        <f>IF(C8=0,0,D8/C8)</f>
        <v/>
      </c>
      <c r="F8" s="3">
        <f>04_DEMAND_MODEL!F8</f>
        <v/>
      </c>
      <c r="G8" s="3">
        <f>04_DEMAND_MODEL!G8</f>
        <v/>
      </c>
      <c r="H8" s="7">
        <f>04_DEMAND_MODEL!J8</f>
        <v/>
      </c>
      <c r="I8" s="7">
        <f>04_DEMAND_MODEL!I8</f>
        <v/>
      </c>
      <c r="J8" s="3">
        <f>MAX(0,04_DEMAND_MODEL!D8-F8)</f>
        <v/>
      </c>
      <c r="K8" s="3">
        <f>IF(SUM($F$4:F8)&gt;=02_MARKETPLACE_ASSUMPTIONS!$B$21,"TARGET REACHED","IN PROGRESS")</f>
        <v/>
      </c>
      <c r="L8" s="3" t="inlineStr">
        <is>
          <t>Capacity is a planning model; replace with actual availability after supply acquisition</t>
        </is>
      </c>
    </row>
    <row r="9">
      <c r="A9" s="3" t="n">
        <v>6</v>
      </c>
      <c r="B9" s="3">
        <f>03_SUPPLY_MODEL!B9</f>
        <v/>
      </c>
      <c r="C9" s="3">
        <f>03_SUPPLY_MODEL!I9</f>
        <v/>
      </c>
      <c r="D9" s="3">
        <f>04_DEMAND_MODEL!H9</f>
        <v/>
      </c>
      <c r="E9" s="6">
        <f>IF(C9=0,0,D9/C9)</f>
        <v/>
      </c>
      <c r="F9" s="3">
        <f>04_DEMAND_MODEL!F9</f>
        <v/>
      </c>
      <c r="G9" s="3">
        <f>04_DEMAND_MODEL!G9</f>
        <v/>
      </c>
      <c r="H9" s="7">
        <f>04_DEMAND_MODEL!J9</f>
        <v/>
      </c>
      <c r="I9" s="7">
        <f>04_DEMAND_MODEL!I9</f>
        <v/>
      </c>
      <c r="J9" s="3">
        <f>MAX(0,04_DEMAND_MODEL!D9-F9)</f>
        <v/>
      </c>
      <c r="K9" s="3">
        <f>IF(SUM($F$4:F9)&gt;=02_MARKETPLACE_ASSUMPTIONS!$B$21,"TARGET REACHED","IN PROGRESS")</f>
        <v/>
      </c>
      <c r="L9" s="3" t="inlineStr">
        <is>
          <t>Capacity is a planning model; replace with actual availability after supply acquisition</t>
        </is>
      </c>
    </row>
    <row r="10">
      <c r="A10" s="3" t="n">
        <v>7</v>
      </c>
      <c r="B10" s="3">
        <f>03_SUPPLY_MODEL!B10</f>
        <v/>
      </c>
      <c r="C10" s="3">
        <f>03_SUPPLY_MODEL!I10</f>
        <v/>
      </c>
      <c r="D10" s="3">
        <f>04_DEMAND_MODEL!H10</f>
        <v/>
      </c>
      <c r="E10" s="6">
        <f>IF(C10=0,0,D10/C10)</f>
        <v/>
      </c>
      <c r="F10" s="3">
        <f>04_DEMAND_MODEL!F10</f>
        <v/>
      </c>
      <c r="G10" s="3">
        <f>04_DEMAND_MODEL!G10</f>
        <v/>
      </c>
      <c r="H10" s="7">
        <f>04_DEMAND_MODEL!J10</f>
        <v/>
      </c>
      <c r="I10" s="7">
        <f>04_DEMAND_MODEL!I10</f>
        <v/>
      </c>
      <c r="J10" s="3">
        <f>MAX(0,04_DEMAND_MODEL!D10-F10)</f>
        <v/>
      </c>
      <c r="K10" s="3">
        <f>IF(SUM($F$4:F10)&gt;=02_MARKETPLACE_ASSUMPTIONS!$B$21,"TARGET REACHED","IN PROGRESS")</f>
        <v/>
      </c>
      <c r="L10" s="3" t="inlineStr">
        <is>
          <t>Capacity is a planning model; replace with actual availability after supply acquisition</t>
        </is>
      </c>
    </row>
    <row r="11">
      <c r="A11" s="3" t="n">
        <v>8</v>
      </c>
      <c r="B11" s="3">
        <f>03_SUPPLY_MODEL!B11</f>
        <v/>
      </c>
      <c r="C11" s="3">
        <f>03_SUPPLY_MODEL!I11</f>
        <v/>
      </c>
      <c r="D11" s="3">
        <f>04_DEMAND_MODEL!H11</f>
        <v/>
      </c>
      <c r="E11" s="6">
        <f>IF(C11=0,0,D11/C11)</f>
        <v/>
      </c>
      <c r="F11" s="3">
        <f>04_DEMAND_MODEL!F11</f>
        <v/>
      </c>
      <c r="G11" s="3">
        <f>04_DEMAND_MODEL!G11</f>
        <v/>
      </c>
      <c r="H11" s="7">
        <f>04_DEMAND_MODEL!J11</f>
        <v/>
      </c>
      <c r="I11" s="7">
        <f>04_DEMAND_MODEL!I11</f>
        <v/>
      </c>
      <c r="J11" s="3">
        <f>MAX(0,04_DEMAND_MODEL!D11-F11)</f>
        <v/>
      </c>
      <c r="K11" s="3">
        <f>IF(SUM($F$4:F11)&gt;=02_MARKETPLACE_ASSUMPTIONS!$B$21,"TARGET REACHED","IN PROGRESS")</f>
        <v/>
      </c>
      <c r="L11" s="3" t="inlineStr">
        <is>
          <t>Capacity is a planning model; replace with actual availability after supply acquisition</t>
        </is>
      </c>
    </row>
    <row r="12">
      <c r="A12" s="3" t="n">
        <v>9</v>
      </c>
      <c r="B12" s="3">
        <f>03_SUPPLY_MODEL!B12</f>
        <v/>
      </c>
      <c r="C12" s="3">
        <f>03_SUPPLY_MODEL!I12</f>
        <v/>
      </c>
      <c r="D12" s="3">
        <f>04_DEMAND_MODEL!H12</f>
        <v/>
      </c>
      <c r="E12" s="6">
        <f>IF(C12=0,0,D12/C12)</f>
        <v/>
      </c>
      <c r="F12" s="3">
        <f>04_DEMAND_MODEL!F12</f>
        <v/>
      </c>
      <c r="G12" s="3">
        <f>04_DEMAND_MODEL!G12</f>
        <v/>
      </c>
      <c r="H12" s="7">
        <f>04_DEMAND_MODEL!J12</f>
        <v/>
      </c>
      <c r="I12" s="7">
        <f>04_DEMAND_MODEL!I12</f>
        <v/>
      </c>
      <c r="J12" s="3">
        <f>MAX(0,04_DEMAND_MODEL!D12-F12)</f>
        <v/>
      </c>
      <c r="K12" s="3">
        <f>IF(SUM($F$4:F12)&gt;=02_MARKETPLACE_ASSUMPTIONS!$B$21,"TARGET REACHED","IN PROGRESS")</f>
        <v/>
      </c>
      <c r="L12" s="3" t="inlineStr">
        <is>
          <t>Capacity is a planning model; replace with actual availability after supply acquisition</t>
        </is>
      </c>
    </row>
    <row r="13">
      <c r="A13" s="3" t="n">
        <v>10</v>
      </c>
      <c r="B13" s="3">
        <f>03_SUPPLY_MODEL!B13</f>
        <v/>
      </c>
      <c r="C13" s="3">
        <f>03_SUPPLY_MODEL!I13</f>
        <v/>
      </c>
      <c r="D13" s="3">
        <f>04_DEMAND_MODEL!H13</f>
        <v/>
      </c>
      <c r="E13" s="6">
        <f>IF(C13=0,0,D13/C13)</f>
        <v/>
      </c>
      <c r="F13" s="3">
        <f>04_DEMAND_MODEL!F13</f>
        <v/>
      </c>
      <c r="G13" s="3">
        <f>04_DEMAND_MODEL!G13</f>
        <v/>
      </c>
      <c r="H13" s="7">
        <f>04_DEMAND_MODEL!J13</f>
        <v/>
      </c>
      <c r="I13" s="7">
        <f>04_DEMAND_MODEL!I13</f>
        <v/>
      </c>
      <c r="J13" s="3">
        <f>MAX(0,04_DEMAND_MODEL!D13-F13)</f>
        <v/>
      </c>
      <c r="K13" s="3">
        <f>IF(SUM($F$4:F13)&gt;=02_MARKETPLACE_ASSUMPTIONS!$B$21,"TARGET REACHED","IN PROGRESS")</f>
        <v/>
      </c>
      <c r="L13" s="3" t="inlineStr">
        <is>
          <t>Capacity is a planning model; replace with actual availability after supply acquisition</t>
        </is>
      </c>
    </row>
    <row r="14">
      <c r="A14" s="3" t="n">
        <v>11</v>
      </c>
      <c r="B14" s="3">
        <f>03_SUPPLY_MODEL!B14</f>
        <v/>
      </c>
      <c r="C14" s="3">
        <f>03_SUPPLY_MODEL!I14</f>
        <v/>
      </c>
      <c r="D14" s="3">
        <f>04_DEMAND_MODEL!H14</f>
        <v/>
      </c>
      <c r="E14" s="6">
        <f>IF(C14=0,0,D14/C14)</f>
        <v/>
      </c>
      <c r="F14" s="3">
        <f>04_DEMAND_MODEL!F14</f>
        <v/>
      </c>
      <c r="G14" s="3">
        <f>04_DEMAND_MODEL!G14</f>
        <v/>
      </c>
      <c r="H14" s="7">
        <f>04_DEMAND_MODEL!J14</f>
        <v/>
      </c>
      <c r="I14" s="7">
        <f>04_DEMAND_MODEL!I14</f>
        <v/>
      </c>
      <c r="J14" s="3">
        <f>MAX(0,04_DEMAND_MODEL!D14-F14)</f>
        <v/>
      </c>
      <c r="K14" s="3">
        <f>IF(SUM($F$4:F14)&gt;=02_MARKETPLACE_ASSUMPTIONS!$B$21,"TARGET REACHED","IN PROGRESS")</f>
        <v/>
      </c>
      <c r="L14" s="3" t="inlineStr">
        <is>
          <t>Capacity is a planning model; replace with actual availability after supply acquisition</t>
        </is>
      </c>
    </row>
    <row r="15">
      <c r="A15" s="3" t="n">
        <v>12</v>
      </c>
      <c r="B15" s="3">
        <f>03_SUPPLY_MODEL!B15</f>
        <v/>
      </c>
      <c r="C15" s="3">
        <f>03_SUPPLY_MODEL!I15</f>
        <v/>
      </c>
      <c r="D15" s="3">
        <f>04_DEMAND_MODEL!H15</f>
        <v/>
      </c>
      <c r="E15" s="6">
        <f>IF(C15=0,0,D15/C15)</f>
        <v/>
      </c>
      <c r="F15" s="3">
        <f>04_DEMAND_MODEL!F15</f>
        <v/>
      </c>
      <c r="G15" s="3">
        <f>04_DEMAND_MODEL!G15</f>
        <v/>
      </c>
      <c r="H15" s="7">
        <f>04_DEMAND_MODEL!J15</f>
        <v/>
      </c>
      <c r="I15" s="7">
        <f>04_DEMAND_MODEL!I15</f>
        <v/>
      </c>
      <c r="J15" s="3">
        <f>MAX(0,04_DEMAND_MODEL!D15-F15)</f>
        <v/>
      </c>
      <c r="K15" s="3">
        <f>IF(SUM($F$4:F15)&gt;=02_MARKETPLACE_ASSUMPTIONS!$B$21,"TARGET REACHED","IN PROGRESS")</f>
        <v/>
      </c>
      <c r="L15" s="3" t="inlineStr">
        <is>
          <t>Capacity is a planning model; replace with actual availability after supply acquisition</t>
        </is>
      </c>
    </row>
    <row r="16">
      <c r="A16" s="3" t="n">
        <v>13</v>
      </c>
      <c r="B16" s="3">
        <f>03_SUPPLY_MODEL!B16</f>
        <v/>
      </c>
      <c r="C16" s="3">
        <f>03_SUPPLY_MODEL!I16</f>
        <v/>
      </c>
      <c r="D16" s="3">
        <f>04_DEMAND_MODEL!H16</f>
        <v/>
      </c>
      <c r="E16" s="6">
        <f>IF(C16=0,0,D16/C16)</f>
        <v/>
      </c>
      <c r="F16" s="3">
        <f>04_DEMAND_MODEL!F16</f>
        <v/>
      </c>
      <c r="G16" s="3">
        <f>04_DEMAND_MODEL!G16</f>
        <v/>
      </c>
      <c r="H16" s="7">
        <f>04_DEMAND_MODEL!J16</f>
        <v/>
      </c>
      <c r="I16" s="7">
        <f>04_DEMAND_MODEL!I16</f>
        <v/>
      </c>
      <c r="J16" s="3">
        <f>MAX(0,04_DEMAND_MODEL!D16-F16)</f>
        <v/>
      </c>
      <c r="K16" s="3">
        <f>IF(SUM($F$4:F16)&gt;=02_MARKETPLACE_ASSUMPTIONS!$B$21,"TARGET REACHED","IN PROGRESS")</f>
        <v/>
      </c>
      <c r="L16" s="3" t="inlineStr">
        <is>
          <t>Capacity is a planning model; replace with actual availability after supply acquisition</t>
        </is>
      </c>
    </row>
    <row r="17">
      <c r="A17" s="3" t="n">
        <v>14</v>
      </c>
      <c r="B17" s="3">
        <f>03_SUPPLY_MODEL!B17</f>
        <v/>
      </c>
      <c r="C17" s="3">
        <f>03_SUPPLY_MODEL!I17</f>
        <v/>
      </c>
      <c r="D17" s="3">
        <f>04_DEMAND_MODEL!H17</f>
        <v/>
      </c>
      <c r="E17" s="6">
        <f>IF(C17=0,0,D17/C17)</f>
        <v/>
      </c>
      <c r="F17" s="3">
        <f>04_DEMAND_MODEL!F17</f>
        <v/>
      </c>
      <c r="G17" s="3">
        <f>04_DEMAND_MODEL!G17</f>
        <v/>
      </c>
      <c r="H17" s="7">
        <f>04_DEMAND_MODEL!J17</f>
        <v/>
      </c>
      <c r="I17" s="7">
        <f>04_DEMAND_MODEL!I17</f>
        <v/>
      </c>
      <c r="J17" s="3">
        <f>MAX(0,04_DEMAND_MODEL!D17-F17)</f>
        <v/>
      </c>
      <c r="K17" s="3">
        <f>IF(SUM($F$4:F17)&gt;=02_MARKETPLACE_ASSUMPTIONS!$B$21,"TARGET REACHED","IN PROGRESS")</f>
        <v/>
      </c>
      <c r="L17" s="3" t="inlineStr">
        <is>
          <t>Capacity is a planning model; replace with actual availability after supply acquisition</t>
        </is>
      </c>
    </row>
    <row r="18">
      <c r="A18" s="3" t="n">
        <v>15</v>
      </c>
      <c r="B18" s="3">
        <f>03_SUPPLY_MODEL!B18</f>
        <v/>
      </c>
      <c r="C18" s="3">
        <f>03_SUPPLY_MODEL!I18</f>
        <v/>
      </c>
      <c r="D18" s="3">
        <f>04_DEMAND_MODEL!H18</f>
        <v/>
      </c>
      <c r="E18" s="6">
        <f>IF(C18=0,0,D18/C18)</f>
        <v/>
      </c>
      <c r="F18" s="3">
        <f>04_DEMAND_MODEL!F18</f>
        <v/>
      </c>
      <c r="G18" s="3">
        <f>04_DEMAND_MODEL!G18</f>
        <v/>
      </c>
      <c r="H18" s="7">
        <f>04_DEMAND_MODEL!J18</f>
        <v/>
      </c>
      <c r="I18" s="7">
        <f>04_DEMAND_MODEL!I18</f>
        <v/>
      </c>
      <c r="J18" s="3">
        <f>MAX(0,04_DEMAND_MODEL!D18-F18)</f>
        <v/>
      </c>
      <c r="K18" s="3">
        <f>IF(SUM($F$4:F18)&gt;=02_MARKETPLACE_ASSUMPTIONS!$B$21,"TARGET REACHED","IN PROGRESS")</f>
        <v/>
      </c>
      <c r="L18" s="3" t="inlineStr">
        <is>
          <t>Capacity is a planning model; replace with actual availability after supply acquisition</t>
        </is>
      </c>
    </row>
    <row r="19">
      <c r="A19" s="3" t="n">
        <v>16</v>
      </c>
      <c r="B19" s="3">
        <f>03_SUPPLY_MODEL!B19</f>
        <v/>
      </c>
      <c r="C19" s="3">
        <f>03_SUPPLY_MODEL!I19</f>
        <v/>
      </c>
      <c r="D19" s="3">
        <f>04_DEMAND_MODEL!H19</f>
        <v/>
      </c>
      <c r="E19" s="6">
        <f>IF(C19=0,0,D19/C19)</f>
        <v/>
      </c>
      <c r="F19" s="3">
        <f>04_DEMAND_MODEL!F19</f>
        <v/>
      </c>
      <c r="G19" s="3">
        <f>04_DEMAND_MODEL!G19</f>
        <v/>
      </c>
      <c r="H19" s="7">
        <f>04_DEMAND_MODEL!J19</f>
        <v/>
      </c>
      <c r="I19" s="7">
        <f>04_DEMAND_MODEL!I19</f>
        <v/>
      </c>
      <c r="J19" s="3">
        <f>MAX(0,04_DEMAND_MODEL!D19-F19)</f>
        <v/>
      </c>
      <c r="K19" s="3">
        <f>IF(SUM($F$4:F19)&gt;=02_MARKETPLACE_ASSUMPTIONS!$B$21,"TARGET REACHED","IN PROGRESS")</f>
        <v/>
      </c>
      <c r="L19" s="3" t="inlineStr">
        <is>
          <t>Capacity is a planning model; replace with actual availability after supply acquisition</t>
        </is>
      </c>
    </row>
    <row r="20">
      <c r="A20" s="3" t="n">
        <v>17</v>
      </c>
      <c r="B20" s="3">
        <f>03_SUPPLY_MODEL!B20</f>
        <v/>
      </c>
      <c r="C20" s="3">
        <f>03_SUPPLY_MODEL!I20</f>
        <v/>
      </c>
      <c r="D20" s="3">
        <f>04_DEMAND_MODEL!H20</f>
        <v/>
      </c>
      <c r="E20" s="6">
        <f>IF(C20=0,0,D20/C20)</f>
        <v/>
      </c>
      <c r="F20" s="3">
        <f>04_DEMAND_MODEL!F20</f>
        <v/>
      </c>
      <c r="G20" s="3">
        <f>04_DEMAND_MODEL!G20</f>
        <v/>
      </c>
      <c r="H20" s="7">
        <f>04_DEMAND_MODEL!J20</f>
        <v/>
      </c>
      <c r="I20" s="7">
        <f>04_DEMAND_MODEL!I20</f>
        <v/>
      </c>
      <c r="J20" s="3">
        <f>MAX(0,04_DEMAND_MODEL!D20-F20)</f>
        <v/>
      </c>
      <c r="K20" s="3">
        <f>IF(SUM($F$4:F20)&gt;=02_MARKETPLACE_ASSUMPTIONS!$B$21,"TARGET REACHED","IN PROGRESS")</f>
        <v/>
      </c>
      <c r="L20" s="3" t="inlineStr">
        <is>
          <t>Capacity is a planning model; replace with actual availability after supply acquisition</t>
        </is>
      </c>
    </row>
    <row r="21">
      <c r="A21" s="3" t="n">
        <v>18</v>
      </c>
      <c r="B21" s="3">
        <f>03_SUPPLY_MODEL!B21</f>
        <v/>
      </c>
      <c r="C21" s="3">
        <f>03_SUPPLY_MODEL!I21</f>
        <v/>
      </c>
      <c r="D21" s="3">
        <f>04_DEMAND_MODEL!H21</f>
        <v/>
      </c>
      <c r="E21" s="6">
        <f>IF(C21=0,0,D21/C21)</f>
        <v/>
      </c>
      <c r="F21" s="3">
        <f>04_DEMAND_MODEL!F21</f>
        <v/>
      </c>
      <c r="G21" s="3">
        <f>04_DEMAND_MODEL!G21</f>
        <v/>
      </c>
      <c r="H21" s="7">
        <f>04_DEMAND_MODEL!J21</f>
        <v/>
      </c>
      <c r="I21" s="7">
        <f>04_DEMAND_MODEL!I21</f>
        <v/>
      </c>
      <c r="J21" s="3">
        <f>MAX(0,04_DEMAND_MODEL!D21-F21)</f>
        <v/>
      </c>
      <c r="K21" s="3">
        <f>IF(SUM($F$4:F21)&gt;=02_MARKETPLACE_ASSUMPTIONS!$B$21,"TARGET REACHED","IN PROGRESS")</f>
        <v/>
      </c>
      <c r="L21" s="3" t="inlineStr">
        <is>
          <t>Capacity is a planning model; replace with actual availability after supply acquisition</t>
        </is>
      </c>
    </row>
    <row r="22">
      <c r="A22" s="3" t="n">
        <v>19</v>
      </c>
      <c r="B22" s="3">
        <f>03_SUPPLY_MODEL!B22</f>
        <v/>
      </c>
      <c r="C22" s="3">
        <f>03_SUPPLY_MODEL!I22</f>
        <v/>
      </c>
      <c r="D22" s="3">
        <f>04_DEMAND_MODEL!H22</f>
        <v/>
      </c>
      <c r="E22" s="6">
        <f>IF(C22=0,0,D22/C22)</f>
        <v/>
      </c>
      <c r="F22" s="3">
        <f>04_DEMAND_MODEL!F22</f>
        <v/>
      </c>
      <c r="G22" s="3">
        <f>04_DEMAND_MODEL!G22</f>
        <v/>
      </c>
      <c r="H22" s="7">
        <f>04_DEMAND_MODEL!J22</f>
        <v/>
      </c>
      <c r="I22" s="7">
        <f>04_DEMAND_MODEL!I22</f>
        <v/>
      </c>
      <c r="J22" s="3">
        <f>MAX(0,04_DEMAND_MODEL!D22-F22)</f>
        <v/>
      </c>
      <c r="K22" s="3">
        <f>IF(SUM($F$4:F22)&gt;=02_MARKETPLACE_ASSUMPTIONS!$B$21,"TARGET REACHED","IN PROGRESS")</f>
        <v/>
      </c>
      <c r="L22" s="3" t="inlineStr">
        <is>
          <t>Capacity is a planning model; replace with actual availability after supply acquisition</t>
        </is>
      </c>
    </row>
    <row r="23">
      <c r="A23" s="3" t="n">
        <v>20</v>
      </c>
      <c r="B23" s="3">
        <f>03_SUPPLY_MODEL!B23</f>
        <v/>
      </c>
      <c r="C23" s="3">
        <f>03_SUPPLY_MODEL!I23</f>
        <v/>
      </c>
      <c r="D23" s="3">
        <f>04_DEMAND_MODEL!H23</f>
        <v/>
      </c>
      <c r="E23" s="6">
        <f>IF(C23=0,0,D23/C23)</f>
        <v/>
      </c>
      <c r="F23" s="3">
        <f>04_DEMAND_MODEL!F23</f>
        <v/>
      </c>
      <c r="G23" s="3">
        <f>04_DEMAND_MODEL!G23</f>
        <v/>
      </c>
      <c r="H23" s="7">
        <f>04_DEMAND_MODEL!J23</f>
        <v/>
      </c>
      <c r="I23" s="7">
        <f>04_DEMAND_MODEL!I23</f>
        <v/>
      </c>
      <c r="J23" s="3">
        <f>MAX(0,04_DEMAND_MODEL!D23-F23)</f>
        <v/>
      </c>
      <c r="K23" s="3">
        <f>IF(SUM($F$4:F23)&gt;=02_MARKETPLACE_ASSUMPTIONS!$B$21,"TARGET REACHED","IN PROGRESS")</f>
        <v/>
      </c>
      <c r="L23" s="3" t="inlineStr">
        <is>
          <t>Capacity is a planning model; replace with actual availability after supply acquisition</t>
        </is>
      </c>
    </row>
    <row r="24">
      <c r="A24" s="3" t="n">
        <v>21</v>
      </c>
      <c r="B24" s="3">
        <f>03_SUPPLY_MODEL!B24</f>
        <v/>
      </c>
      <c r="C24" s="3">
        <f>03_SUPPLY_MODEL!I24</f>
        <v/>
      </c>
      <c r="D24" s="3">
        <f>04_DEMAND_MODEL!H24</f>
        <v/>
      </c>
      <c r="E24" s="6">
        <f>IF(C24=0,0,D24/C24)</f>
        <v/>
      </c>
      <c r="F24" s="3">
        <f>04_DEMAND_MODEL!F24</f>
        <v/>
      </c>
      <c r="G24" s="3">
        <f>04_DEMAND_MODEL!G24</f>
        <v/>
      </c>
      <c r="H24" s="7">
        <f>04_DEMAND_MODEL!J24</f>
        <v/>
      </c>
      <c r="I24" s="7">
        <f>04_DEMAND_MODEL!I24</f>
        <v/>
      </c>
      <c r="J24" s="3">
        <f>MAX(0,04_DEMAND_MODEL!D24-F24)</f>
        <v/>
      </c>
      <c r="K24" s="3">
        <f>IF(SUM($F$4:F24)&gt;=02_MARKETPLACE_ASSUMPTIONS!$B$21,"TARGET REACHED","IN PROGRESS")</f>
        <v/>
      </c>
      <c r="L24" s="3" t="inlineStr">
        <is>
          <t>Capacity is a planning model; replace with actual availability after supply acquisition</t>
        </is>
      </c>
    </row>
    <row r="25">
      <c r="A25" s="3" t="n">
        <v>22</v>
      </c>
      <c r="B25" s="3">
        <f>03_SUPPLY_MODEL!B25</f>
        <v/>
      </c>
      <c r="C25" s="3">
        <f>03_SUPPLY_MODEL!I25</f>
        <v/>
      </c>
      <c r="D25" s="3">
        <f>04_DEMAND_MODEL!H25</f>
        <v/>
      </c>
      <c r="E25" s="6">
        <f>IF(C25=0,0,D25/C25)</f>
        <v/>
      </c>
      <c r="F25" s="3">
        <f>04_DEMAND_MODEL!F25</f>
        <v/>
      </c>
      <c r="G25" s="3">
        <f>04_DEMAND_MODEL!G25</f>
        <v/>
      </c>
      <c r="H25" s="7">
        <f>04_DEMAND_MODEL!J25</f>
        <v/>
      </c>
      <c r="I25" s="7">
        <f>04_DEMAND_MODEL!I25</f>
        <v/>
      </c>
      <c r="J25" s="3">
        <f>MAX(0,04_DEMAND_MODEL!D25-F25)</f>
        <v/>
      </c>
      <c r="K25" s="3">
        <f>IF(SUM($F$4:F25)&gt;=02_MARKETPLACE_ASSUMPTIONS!$B$21,"TARGET REACHED","IN PROGRESS")</f>
        <v/>
      </c>
      <c r="L25" s="3" t="inlineStr">
        <is>
          <t>Capacity is a planning model; replace with actual availability after supply acquisition</t>
        </is>
      </c>
    </row>
    <row r="26">
      <c r="A26" s="3" t="n">
        <v>23</v>
      </c>
      <c r="B26" s="3">
        <f>03_SUPPLY_MODEL!B26</f>
        <v/>
      </c>
      <c r="C26" s="3">
        <f>03_SUPPLY_MODEL!I26</f>
        <v/>
      </c>
      <c r="D26" s="3">
        <f>04_DEMAND_MODEL!H26</f>
        <v/>
      </c>
      <c r="E26" s="6">
        <f>IF(C26=0,0,D26/C26)</f>
        <v/>
      </c>
      <c r="F26" s="3">
        <f>04_DEMAND_MODEL!F26</f>
        <v/>
      </c>
      <c r="G26" s="3">
        <f>04_DEMAND_MODEL!G26</f>
        <v/>
      </c>
      <c r="H26" s="7">
        <f>04_DEMAND_MODEL!J26</f>
        <v/>
      </c>
      <c r="I26" s="7">
        <f>04_DEMAND_MODEL!I26</f>
        <v/>
      </c>
      <c r="J26" s="3">
        <f>MAX(0,04_DEMAND_MODEL!D26-F26)</f>
        <v/>
      </c>
      <c r="K26" s="3">
        <f>IF(SUM($F$4:F26)&gt;=02_MARKETPLACE_ASSUMPTIONS!$B$21,"TARGET REACHED","IN PROGRESS")</f>
        <v/>
      </c>
      <c r="L26" s="3" t="inlineStr">
        <is>
          <t>Capacity is a planning model; replace with actual availability after supply acquisition</t>
        </is>
      </c>
    </row>
    <row r="27">
      <c r="A27" s="3" t="n">
        <v>24</v>
      </c>
      <c r="B27" s="3">
        <f>03_SUPPLY_MODEL!B27</f>
        <v/>
      </c>
      <c r="C27" s="3">
        <f>03_SUPPLY_MODEL!I27</f>
        <v/>
      </c>
      <c r="D27" s="3">
        <f>04_DEMAND_MODEL!H27</f>
        <v/>
      </c>
      <c r="E27" s="6">
        <f>IF(C27=0,0,D27/C27)</f>
        <v/>
      </c>
      <c r="F27" s="3">
        <f>04_DEMAND_MODEL!F27</f>
        <v/>
      </c>
      <c r="G27" s="3">
        <f>04_DEMAND_MODEL!G27</f>
        <v/>
      </c>
      <c r="H27" s="7">
        <f>04_DEMAND_MODEL!J27</f>
        <v/>
      </c>
      <c r="I27" s="7">
        <f>04_DEMAND_MODEL!I27</f>
        <v/>
      </c>
      <c r="J27" s="3">
        <f>MAX(0,04_DEMAND_MODEL!D27-F27)</f>
        <v/>
      </c>
      <c r="K27" s="3">
        <f>IF(SUM($F$4:F27)&gt;=02_MARKETPLACE_ASSUMPTIONS!$B$21,"TARGET REACHED","IN PROGRESS")</f>
        <v/>
      </c>
      <c r="L27" s="3" t="inlineStr">
        <is>
          <t>Capacity is a planning model; replace with actual availability after supply acquisition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7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  <col width="16" customWidth="1" min="11" max="11"/>
    <col width="20" customWidth="1" min="12" max="12"/>
    <col width="24" customWidth="1" min="13" max="13"/>
  </cols>
  <sheetData>
    <row r="1">
      <c r="A1" s="1" t="inlineStr">
        <is>
          <t>Revenue Model — GMV → Platform Revenue</t>
        </is>
      </c>
    </row>
    <row r="3">
      <c r="A3" s="4" t="inlineStr">
        <is>
          <t>Month</t>
        </is>
      </c>
      <c r="B3" s="4" t="inlineStr">
        <is>
          <t>GMV</t>
        </is>
      </c>
      <c r="C3" s="4" t="inlineStr">
        <is>
          <t>Alpha commission</t>
        </is>
      </c>
      <c r="D3" s="4" t="inlineStr">
        <is>
          <t>Base commission</t>
        </is>
      </c>
      <c r="E3" s="4" t="inlineStr">
        <is>
          <t>Upside commission</t>
        </is>
      </c>
      <c r="F3" s="4" t="inlineStr">
        <is>
          <t>Downside commission</t>
        </is>
      </c>
      <c r="G3" s="4" t="inlineStr">
        <is>
          <t>Alpha revenue</t>
        </is>
      </c>
      <c r="H3" s="4" t="inlineStr">
        <is>
          <t>Base revenue</t>
        </is>
      </c>
      <c r="I3" s="4" t="inlineStr">
        <is>
          <t>Upside revenue</t>
        </is>
      </c>
      <c r="J3" s="4" t="inlineStr">
        <is>
          <t>Downside revenue</t>
        </is>
      </c>
      <c r="K3" s="4" t="inlineStr">
        <is>
          <t>Payment cost</t>
        </is>
      </c>
      <c r="L3" s="4" t="inlineStr">
        <is>
          <t>Refund/service credits</t>
        </is>
      </c>
      <c r="M3" s="4" t="inlineStr">
        <is>
          <t>Net platform revenue (Base)</t>
        </is>
      </c>
    </row>
    <row r="4">
      <c r="A4" s="3" t="n">
        <v>1</v>
      </c>
      <c r="B4" s="7">
        <f>05_BOOKING_MODEL!H4</f>
        <v/>
      </c>
      <c r="C4" s="7">
        <f>02_MARKETPLACE_ASSUMPTIONS!$B$16</f>
        <v/>
      </c>
      <c r="D4" s="7">
        <f>02_MARKETPLACE_ASSUMPTIONS!$B$17</f>
        <v/>
      </c>
      <c r="E4" s="7">
        <f>02_MARKETPLACE_ASSUMPTIONS!$B$18</f>
        <v/>
      </c>
      <c r="F4" s="7">
        <f>02_MARKETPLACE_ASSUMPTIONS!$B$19</f>
        <v/>
      </c>
      <c r="G4" s="7">
        <f>B4*C4</f>
        <v/>
      </c>
      <c r="H4" s="7">
        <f>B4*D4</f>
        <v/>
      </c>
      <c r="I4" s="7">
        <f>B4*E4</f>
        <v/>
      </c>
      <c r="J4" s="7">
        <f>B4*F4</f>
        <v/>
      </c>
      <c r="K4" s="7">
        <f>B4*02_MARKETPLACE_ASSUMPTIONS!$B$15</f>
        <v/>
      </c>
      <c r="L4" s="7">
        <f>B4*02_MARKETPLACE_ASSUMPTIONS!$B$14</f>
        <v/>
      </c>
      <c r="M4" s="7">
        <f>H4-K4-L4</f>
        <v/>
      </c>
    </row>
    <row r="5">
      <c r="A5" s="3" t="n">
        <v>2</v>
      </c>
      <c r="B5" s="7">
        <f>05_BOOKING_MODEL!H5</f>
        <v/>
      </c>
      <c r="C5" s="7">
        <f>02_MARKETPLACE_ASSUMPTIONS!$B$16</f>
        <v/>
      </c>
      <c r="D5" s="7">
        <f>02_MARKETPLACE_ASSUMPTIONS!$B$17</f>
        <v/>
      </c>
      <c r="E5" s="7">
        <f>02_MARKETPLACE_ASSUMPTIONS!$B$18</f>
        <v/>
      </c>
      <c r="F5" s="7">
        <f>02_MARKETPLACE_ASSUMPTIONS!$B$19</f>
        <v/>
      </c>
      <c r="G5" s="7">
        <f>B5*C5</f>
        <v/>
      </c>
      <c r="H5" s="7">
        <f>B5*D5</f>
        <v/>
      </c>
      <c r="I5" s="7">
        <f>B5*E5</f>
        <v/>
      </c>
      <c r="J5" s="7">
        <f>B5*F5</f>
        <v/>
      </c>
      <c r="K5" s="7">
        <f>B5*02_MARKETPLACE_ASSUMPTIONS!$B$15</f>
        <v/>
      </c>
      <c r="L5" s="7">
        <f>B5*02_MARKETPLACE_ASSUMPTIONS!$B$14</f>
        <v/>
      </c>
      <c r="M5" s="7">
        <f>H5-K5-L5</f>
        <v/>
      </c>
    </row>
    <row r="6">
      <c r="A6" s="3" t="n">
        <v>3</v>
      </c>
      <c r="B6" s="7">
        <f>05_BOOKING_MODEL!H6</f>
        <v/>
      </c>
      <c r="C6" s="7">
        <f>02_MARKETPLACE_ASSUMPTIONS!$B$16</f>
        <v/>
      </c>
      <c r="D6" s="7">
        <f>02_MARKETPLACE_ASSUMPTIONS!$B$17</f>
        <v/>
      </c>
      <c r="E6" s="7">
        <f>02_MARKETPLACE_ASSUMPTIONS!$B$18</f>
        <v/>
      </c>
      <c r="F6" s="7">
        <f>02_MARKETPLACE_ASSUMPTIONS!$B$19</f>
        <v/>
      </c>
      <c r="G6" s="7">
        <f>B6*C6</f>
        <v/>
      </c>
      <c r="H6" s="7">
        <f>B6*D6</f>
        <v/>
      </c>
      <c r="I6" s="7">
        <f>B6*E6</f>
        <v/>
      </c>
      <c r="J6" s="7">
        <f>B6*F6</f>
        <v/>
      </c>
      <c r="K6" s="7">
        <f>B6*02_MARKETPLACE_ASSUMPTIONS!$B$15</f>
        <v/>
      </c>
      <c r="L6" s="7">
        <f>B6*02_MARKETPLACE_ASSUMPTIONS!$B$14</f>
        <v/>
      </c>
      <c r="M6" s="7">
        <f>H6-K6-L6</f>
        <v/>
      </c>
    </row>
    <row r="7">
      <c r="A7" s="3" t="n">
        <v>4</v>
      </c>
      <c r="B7" s="7">
        <f>05_BOOKING_MODEL!H7</f>
        <v/>
      </c>
      <c r="C7" s="7">
        <f>02_MARKETPLACE_ASSUMPTIONS!$B$16</f>
        <v/>
      </c>
      <c r="D7" s="7">
        <f>02_MARKETPLACE_ASSUMPTIONS!$B$17</f>
        <v/>
      </c>
      <c r="E7" s="7">
        <f>02_MARKETPLACE_ASSUMPTIONS!$B$18</f>
        <v/>
      </c>
      <c r="F7" s="7">
        <f>02_MARKETPLACE_ASSUMPTIONS!$B$19</f>
        <v/>
      </c>
      <c r="G7" s="7">
        <f>B7*C7</f>
        <v/>
      </c>
      <c r="H7" s="7">
        <f>B7*D7</f>
        <v/>
      </c>
      <c r="I7" s="7">
        <f>B7*E7</f>
        <v/>
      </c>
      <c r="J7" s="7">
        <f>B7*F7</f>
        <v/>
      </c>
      <c r="K7" s="7">
        <f>B7*02_MARKETPLACE_ASSUMPTIONS!$B$15</f>
        <v/>
      </c>
      <c r="L7" s="7">
        <f>B7*02_MARKETPLACE_ASSUMPTIONS!$B$14</f>
        <v/>
      </c>
      <c r="M7" s="7">
        <f>H7-K7-L7</f>
        <v/>
      </c>
    </row>
    <row r="8">
      <c r="A8" s="3" t="n">
        <v>5</v>
      </c>
      <c r="B8" s="7">
        <f>05_BOOKING_MODEL!H8</f>
        <v/>
      </c>
      <c r="C8" s="7">
        <f>02_MARKETPLACE_ASSUMPTIONS!$B$16</f>
        <v/>
      </c>
      <c r="D8" s="7">
        <f>02_MARKETPLACE_ASSUMPTIONS!$B$17</f>
        <v/>
      </c>
      <c r="E8" s="7">
        <f>02_MARKETPLACE_ASSUMPTIONS!$B$18</f>
        <v/>
      </c>
      <c r="F8" s="7">
        <f>02_MARKETPLACE_ASSUMPTIONS!$B$19</f>
        <v/>
      </c>
      <c r="G8" s="7">
        <f>B8*C8</f>
        <v/>
      </c>
      <c r="H8" s="7">
        <f>B8*D8</f>
        <v/>
      </c>
      <c r="I8" s="7">
        <f>B8*E8</f>
        <v/>
      </c>
      <c r="J8" s="7">
        <f>B8*F8</f>
        <v/>
      </c>
      <c r="K8" s="7">
        <f>B8*02_MARKETPLACE_ASSUMPTIONS!$B$15</f>
        <v/>
      </c>
      <c r="L8" s="7">
        <f>B8*02_MARKETPLACE_ASSUMPTIONS!$B$14</f>
        <v/>
      </c>
      <c r="M8" s="7">
        <f>H8-K8-L8</f>
        <v/>
      </c>
    </row>
    <row r="9">
      <c r="A9" s="3" t="n">
        <v>6</v>
      </c>
      <c r="B9" s="7">
        <f>05_BOOKING_MODEL!H9</f>
        <v/>
      </c>
      <c r="C9" s="7">
        <f>02_MARKETPLACE_ASSUMPTIONS!$B$16</f>
        <v/>
      </c>
      <c r="D9" s="7">
        <f>02_MARKETPLACE_ASSUMPTIONS!$B$17</f>
        <v/>
      </c>
      <c r="E9" s="7">
        <f>02_MARKETPLACE_ASSUMPTIONS!$B$18</f>
        <v/>
      </c>
      <c r="F9" s="7">
        <f>02_MARKETPLACE_ASSUMPTIONS!$B$19</f>
        <v/>
      </c>
      <c r="G9" s="7">
        <f>B9*C9</f>
        <v/>
      </c>
      <c r="H9" s="7">
        <f>B9*D9</f>
        <v/>
      </c>
      <c r="I9" s="7">
        <f>B9*E9</f>
        <v/>
      </c>
      <c r="J9" s="7">
        <f>B9*F9</f>
        <v/>
      </c>
      <c r="K9" s="7">
        <f>B9*02_MARKETPLACE_ASSUMPTIONS!$B$15</f>
        <v/>
      </c>
      <c r="L9" s="7">
        <f>B9*02_MARKETPLACE_ASSUMPTIONS!$B$14</f>
        <v/>
      </c>
      <c r="M9" s="7">
        <f>H9-K9-L9</f>
        <v/>
      </c>
    </row>
    <row r="10">
      <c r="A10" s="3" t="n">
        <v>7</v>
      </c>
      <c r="B10" s="7">
        <f>05_BOOKING_MODEL!H10</f>
        <v/>
      </c>
      <c r="C10" s="7">
        <f>02_MARKETPLACE_ASSUMPTIONS!$B$16</f>
        <v/>
      </c>
      <c r="D10" s="7">
        <f>02_MARKETPLACE_ASSUMPTIONS!$B$17</f>
        <v/>
      </c>
      <c r="E10" s="7">
        <f>02_MARKETPLACE_ASSUMPTIONS!$B$18</f>
        <v/>
      </c>
      <c r="F10" s="7">
        <f>02_MARKETPLACE_ASSUMPTIONS!$B$19</f>
        <v/>
      </c>
      <c r="G10" s="7">
        <f>B10*C10</f>
        <v/>
      </c>
      <c r="H10" s="7">
        <f>B10*D10</f>
        <v/>
      </c>
      <c r="I10" s="7">
        <f>B10*E10</f>
        <v/>
      </c>
      <c r="J10" s="7">
        <f>B10*F10</f>
        <v/>
      </c>
      <c r="K10" s="7">
        <f>B10*02_MARKETPLACE_ASSUMPTIONS!$B$15</f>
        <v/>
      </c>
      <c r="L10" s="7">
        <f>B10*02_MARKETPLACE_ASSUMPTIONS!$B$14</f>
        <v/>
      </c>
      <c r="M10" s="7">
        <f>H10-K10-L10</f>
        <v/>
      </c>
    </row>
    <row r="11">
      <c r="A11" s="3" t="n">
        <v>8</v>
      </c>
      <c r="B11" s="7">
        <f>05_BOOKING_MODEL!H11</f>
        <v/>
      </c>
      <c r="C11" s="7">
        <f>02_MARKETPLACE_ASSUMPTIONS!$B$16</f>
        <v/>
      </c>
      <c r="D11" s="7">
        <f>02_MARKETPLACE_ASSUMPTIONS!$B$17</f>
        <v/>
      </c>
      <c r="E11" s="7">
        <f>02_MARKETPLACE_ASSUMPTIONS!$B$18</f>
        <v/>
      </c>
      <c r="F11" s="7">
        <f>02_MARKETPLACE_ASSUMPTIONS!$B$19</f>
        <v/>
      </c>
      <c r="G11" s="7">
        <f>B11*C11</f>
        <v/>
      </c>
      <c r="H11" s="7">
        <f>B11*D11</f>
        <v/>
      </c>
      <c r="I11" s="7">
        <f>B11*E11</f>
        <v/>
      </c>
      <c r="J11" s="7">
        <f>B11*F11</f>
        <v/>
      </c>
      <c r="K11" s="7">
        <f>B11*02_MARKETPLACE_ASSUMPTIONS!$B$15</f>
        <v/>
      </c>
      <c r="L11" s="7">
        <f>B11*02_MARKETPLACE_ASSUMPTIONS!$B$14</f>
        <v/>
      </c>
      <c r="M11" s="7">
        <f>H11-K11-L11</f>
        <v/>
      </c>
    </row>
    <row r="12">
      <c r="A12" s="3" t="n">
        <v>9</v>
      </c>
      <c r="B12" s="7">
        <f>05_BOOKING_MODEL!H12</f>
        <v/>
      </c>
      <c r="C12" s="7">
        <f>02_MARKETPLACE_ASSUMPTIONS!$B$16</f>
        <v/>
      </c>
      <c r="D12" s="7">
        <f>02_MARKETPLACE_ASSUMPTIONS!$B$17</f>
        <v/>
      </c>
      <c r="E12" s="7">
        <f>02_MARKETPLACE_ASSUMPTIONS!$B$18</f>
        <v/>
      </c>
      <c r="F12" s="7">
        <f>02_MARKETPLACE_ASSUMPTIONS!$B$19</f>
        <v/>
      </c>
      <c r="G12" s="7">
        <f>B12*C12</f>
        <v/>
      </c>
      <c r="H12" s="7">
        <f>B12*D12</f>
        <v/>
      </c>
      <c r="I12" s="7">
        <f>B12*E12</f>
        <v/>
      </c>
      <c r="J12" s="7">
        <f>B12*F12</f>
        <v/>
      </c>
      <c r="K12" s="7">
        <f>B12*02_MARKETPLACE_ASSUMPTIONS!$B$15</f>
        <v/>
      </c>
      <c r="L12" s="7">
        <f>B12*02_MARKETPLACE_ASSUMPTIONS!$B$14</f>
        <v/>
      </c>
      <c r="M12" s="7">
        <f>H12-K12-L12</f>
        <v/>
      </c>
    </row>
    <row r="13">
      <c r="A13" s="3" t="n">
        <v>10</v>
      </c>
      <c r="B13" s="7">
        <f>05_BOOKING_MODEL!H13</f>
        <v/>
      </c>
      <c r="C13" s="7">
        <f>02_MARKETPLACE_ASSUMPTIONS!$B$16</f>
        <v/>
      </c>
      <c r="D13" s="7">
        <f>02_MARKETPLACE_ASSUMPTIONS!$B$17</f>
        <v/>
      </c>
      <c r="E13" s="7">
        <f>02_MARKETPLACE_ASSUMPTIONS!$B$18</f>
        <v/>
      </c>
      <c r="F13" s="7">
        <f>02_MARKETPLACE_ASSUMPTIONS!$B$19</f>
        <v/>
      </c>
      <c r="G13" s="7">
        <f>B13*C13</f>
        <v/>
      </c>
      <c r="H13" s="7">
        <f>B13*D13</f>
        <v/>
      </c>
      <c r="I13" s="7">
        <f>B13*E13</f>
        <v/>
      </c>
      <c r="J13" s="7">
        <f>B13*F13</f>
        <v/>
      </c>
      <c r="K13" s="7">
        <f>B13*02_MARKETPLACE_ASSUMPTIONS!$B$15</f>
        <v/>
      </c>
      <c r="L13" s="7">
        <f>B13*02_MARKETPLACE_ASSUMPTIONS!$B$14</f>
        <v/>
      </c>
      <c r="M13" s="7">
        <f>H13-K13-L13</f>
        <v/>
      </c>
    </row>
    <row r="14">
      <c r="A14" s="3" t="n">
        <v>11</v>
      </c>
      <c r="B14" s="7">
        <f>05_BOOKING_MODEL!H14</f>
        <v/>
      </c>
      <c r="C14" s="7">
        <f>02_MARKETPLACE_ASSUMPTIONS!$B$16</f>
        <v/>
      </c>
      <c r="D14" s="7">
        <f>02_MARKETPLACE_ASSUMPTIONS!$B$17</f>
        <v/>
      </c>
      <c r="E14" s="7">
        <f>02_MARKETPLACE_ASSUMPTIONS!$B$18</f>
        <v/>
      </c>
      <c r="F14" s="7">
        <f>02_MARKETPLACE_ASSUMPTIONS!$B$19</f>
        <v/>
      </c>
      <c r="G14" s="7">
        <f>B14*C14</f>
        <v/>
      </c>
      <c r="H14" s="7">
        <f>B14*D14</f>
        <v/>
      </c>
      <c r="I14" s="7">
        <f>B14*E14</f>
        <v/>
      </c>
      <c r="J14" s="7">
        <f>B14*F14</f>
        <v/>
      </c>
      <c r="K14" s="7">
        <f>B14*02_MARKETPLACE_ASSUMPTIONS!$B$15</f>
        <v/>
      </c>
      <c r="L14" s="7">
        <f>B14*02_MARKETPLACE_ASSUMPTIONS!$B$14</f>
        <v/>
      </c>
      <c r="M14" s="7">
        <f>H14-K14-L14</f>
        <v/>
      </c>
    </row>
    <row r="15">
      <c r="A15" s="3" t="n">
        <v>12</v>
      </c>
      <c r="B15" s="7">
        <f>05_BOOKING_MODEL!H15</f>
        <v/>
      </c>
      <c r="C15" s="7">
        <f>02_MARKETPLACE_ASSUMPTIONS!$B$16</f>
        <v/>
      </c>
      <c r="D15" s="7">
        <f>02_MARKETPLACE_ASSUMPTIONS!$B$17</f>
        <v/>
      </c>
      <c r="E15" s="7">
        <f>02_MARKETPLACE_ASSUMPTIONS!$B$18</f>
        <v/>
      </c>
      <c r="F15" s="7">
        <f>02_MARKETPLACE_ASSUMPTIONS!$B$19</f>
        <v/>
      </c>
      <c r="G15" s="7">
        <f>B15*C15</f>
        <v/>
      </c>
      <c r="H15" s="7">
        <f>B15*D15</f>
        <v/>
      </c>
      <c r="I15" s="7">
        <f>B15*E15</f>
        <v/>
      </c>
      <c r="J15" s="7">
        <f>B15*F15</f>
        <v/>
      </c>
      <c r="K15" s="7">
        <f>B15*02_MARKETPLACE_ASSUMPTIONS!$B$15</f>
        <v/>
      </c>
      <c r="L15" s="7">
        <f>B15*02_MARKETPLACE_ASSUMPTIONS!$B$14</f>
        <v/>
      </c>
      <c r="M15" s="7">
        <f>H15-K15-L15</f>
        <v/>
      </c>
    </row>
    <row r="16">
      <c r="A16" s="3" t="n">
        <v>13</v>
      </c>
      <c r="B16" s="7">
        <f>05_BOOKING_MODEL!H16</f>
        <v/>
      </c>
      <c r="C16" s="7">
        <f>02_MARKETPLACE_ASSUMPTIONS!$B$16</f>
        <v/>
      </c>
      <c r="D16" s="7">
        <f>02_MARKETPLACE_ASSUMPTIONS!$B$17</f>
        <v/>
      </c>
      <c r="E16" s="7">
        <f>02_MARKETPLACE_ASSUMPTIONS!$B$18</f>
        <v/>
      </c>
      <c r="F16" s="7">
        <f>02_MARKETPLACE_ASSUMPTIONS!$B$19</f>
        <v/>
      </c>
      <c r="G16" s="7">
        <f>B16*C16</f>
        <v/>
      </c>
      <c r="H16" s="7">
        <f>B16*D16</f>
        <v/>
      </c>
      <c r="I16" s="7">
        <f>B16*E16</f>
        <v/>
      </c>
      <c r="J16" s="7">
        <f>B16*F16</f>
        <v/>
      </c>
      <c r="K16" s="7">
        <f>B16*02_MARKETPLACE_ASSUMPTIONS!$B$15</f>
        <v/>
      </c>
      <c r="L16" s="7">
        <f>B16*02_MARKETPLACE_ASSUMPTIONS!$B$14</f>
        <v/>
      </c>
      <c r="M16" s="7">
        <f>H16-K16-L16</f>
        <v/>
      </c>
    </row>
    <row r="17">
      <c r="A17" s="3" t="n">
        <v>14</v>
      </c>
      <c r="B17" s="7">
        <f>05_BOOKING_MODEL!H17</f>
        <v/>
      </c>
      <c r="C17" s="7">
        <f>02_MARKETPLACE_ASSUMPTIONS!$B$16</f>
        <v/>
      </c>
      <c r="D17" s="7">
        <f>02_MARKETPLACE_ASSUMPTIONS!$B$17</f>
        <v/>
      </c>
      <c r="E17" s="7">
        <f>02_MARKETPLACE_ASSUMPTIONS!$B$18</f>
        <v/>
      </c>
      <c r="F17" s="7">
        <f>02_MARKETPLACE_ASSUMPTIONS!$B$19</f>
        <v/>
      </c>
      <c r="G17" s="7">
        <f>B17*C17</f>
        <v/>
      </c>
      <c r="H17" s="7">
        <f>B17*D17</f>
        <v/>
      </c>
      <c r="I17" s="7">
        <f>B17*E17</f>
        <v/>
      </c>
      <c r="J17" s="7">
        <f>B17*F17</f>
        <v/>
      </c>
      <c r="K17" s="7">
        <f>B17*02_MARKETPLACE_ASSUMPTIONS!$B$15</f>
        <v/>
      </c>
      <c r="L17" s="7">
        <f>B17*02_MARKETPLACE_ASSUMPTIONS!$B$14</f>
        <v/>
      </c>
      <c r="M17" s="7">
        <f>H17-K17-L17</f>
        <v/>
      </c>
    </row>
    <row r="18">
      <c r="A18" s="3" t="n">
        <v>15</v>
      </c>
      <c r="B18" s="7">
        <f>05_BOOKING_MODEL!H18</f>
        <v/>
      </c>
      <c r="C18" s="7">
        <f>02_MARKETPLACE_ASSUMPTIONS!$B$16</f>
        <v/>
      </c>
      <c r="D18" s="7">
        <f>02_MARKETPLACE_ASSUMPTIONS!$B$17</f>
        <v/>
      </c>
      <c r="E18" s="7">
        <f>02_MARKETPLACE_ASSUMPTIONS!$B$18</f>
        <v/>
      </c>
      <c r="F18" s="7">
        <f>02_MARKETPLACE_ASSUMPTIONS!$B$19</f>
        <v/>
      </c>
      <c r="G18" s="7">
        <f>B18*C18</f>
        <v/>
      </c>
      <c r="H18" s="7">
        <f>B18*D18</f>
        <v/>
      </c>
      <c r="I18" s="7">
        <f>B18*E18</f>
        <v/>
      </c>
      <c r="J18" s="7">
        <f>B18*F18</f>
        <v/>
      </c>
      <c r="K18" s="7">
        <f>B18*02_MARKETPLACE_ASSUMPTIONS!$B$15</f>
        <v/>
      </c>
      <c r="L18" s="7">
        <f>B18*02_MARKETPLACE_ASSUMPTIONS!$B$14</f>
        <v/>
      </c>
      <c r="M18" s="7">
        <f>H18-K18-L18</f>
        <v/>
      </c>
    </row>
    <row r="19">
      <c r="A19" s="3" t="n">
        <v>16</v>
      </c>
      <c r="B19" s="7">
        <f>05_BOOKING_MODEL!H19</f>
        <v/>
      </c>
      <c r="C19" s="7">
        <f>02_MARKETPLACE_ASSUMPTIONS!$B$16</f>
        <v/>
      </c>
      <c r="D19" s="7">
        <f>02_MARKETPLACE_ASSUMPTIONS!$B$17</f>
        <v/>
      </c>
      <c r="E19" s="7">
        <f>02_MARKETPLACE_ASSUMPTIONS!$B$18</f>
        <v/>
      </c>
      <c r="F19" s="7">
        <f>02_MARKETPLACE_ASSUMPTIONS!$B$19</f>
        <v/>
      </c>
      <c r="G19" s="7">
        <f>B19*C19</f>
        <v/>
      </c>
      <c r="H19" s="7">
        <f>B19*D19</f>
        <v/>
      </c>
      <c r="I19" s="7">
        <f>B19*E19</f>
        <v/>
      </c>
      <c r="J19" s="7">
        <f>B19*F19</f>
        <v/>
      </c>
      <c r="K19" s="7">
        <f>B19*02_MARKETPLACE_ASSUMPTIONS!$B$15</f>
        <v/>
      </c>
      <c r="L19" s="7">
        <f>B19*02_MARKETPLACE_ASSUMPTIONS!$B$14</f>
        <v/>
      </c>
      <c r="M19" s="7">
        <f>H19-K19-L19</f>
        <v/>
      </c>
    </row>
    <row r="20">
      <c r="A20" s="3" t="n">
        <v>17</v>
      </c>
      <c r="B20" s="7">
        <f>05_BOOKING_MODEL!H20</f>
        <v/>
      </c>
      <c r="C20" s="7">
        <f>02_MARKETPLACE_ASSUMPTIONS!$B$16</f>
        <v/>
      </c>
      <c r="D20" s="7">
        <f>02_MARKETPLACE_ASSUMPTIONS!$B$17</f>
        <v/>
      </c>
      <c r="E20" s="7">
        <f>02_MARKETPLACE_ASSUMPTIONS!$B$18</f>
        <v/>
      </c>
      <c r="F20" s="7">
        <f>02_MARKETPLACE_ASSUMPTIONS!$B$19</f>
        <v/>
      </c>
      <c r="G20" s="7">
        <f>B20*C20</f>
        <v/>
      </c>
      <c r="H20" s="7">
        <f>B20*D20</f>
        <v/>
      </c>
      <c r="I20" s="7">
        <f>B20*E20</f>
        <v/>
      </c>
      <c r="J20" s="7">
        <f>B20*F20</f>
        <v/>
      </c>
      <c r="K20" s="7">
        <f>B20*02_MARKETPLACE_ASSUMPTIONS!$B$15</f>
        <v/>
      </c>
      <c r="L20" s="7">
        <f>B20*02_MARKETPLACE_ASSUMPTIONS!$B$14</f>
        <v/>
      </c>
      <c r="M20" s="7">
        <f>H20-K20-L20</f>
        <v/>
      </c>
    </row>
    <row r="21">
      <c r="A21" s="3" t="n">
        <v>18</v>
      </c>
      <c r="B21" s="7">
        <f>05_BOOKING_MODEL!H21</f>
        <v/>
      </c>
      <c r="C21" s="7">
        <f>02_MARKETPLACE_ASSUMPTIONS!$B$16</f>
        <v/>
      </c>
      <c r="D21" s="7">
        <f>02_MARKETPLACE_ASSUMPTIONS!$B$17</f>
        <v/>
      </c>
      <c r="E21" s="7">
        <f>02_MARKETPLACE_ASSUMPTIONS!$B$18</f>
        <v/>
      </c>
      <c r="F21" s="7">
        <f>02_MARKETPLACE_ASSUMPTIONS!$B$19</f>
        <v/>
      </c>
      <c r="G21" s="7">
        <f>B21*C21</f>
        <v/>
      </c>
      <c r="H21" s="7">
        <f>B21*D21</f>
        <v/>
      </c>
      <c r="I21" s="7">
        <f>B21*E21</f>
        <v/>
      </c>
      <c r="J21" s="7">
        <f>B21*F21</f>
        <v/>
      </c>
      <c r="K21" s="7">
        <f>B21*02_MARKETPLACE_ASSUMPTIONS!$B$15</f>
        <v/>
      </c>
      <c r="L21" s="7">
        <f>B21*02_MARKETPLACE_ASSUMPTIONS!$B$14</f>
        <v/>
      </c>
      <c r="M21" s="7">
        <f>H21-K21-L21</f>
        <v/>
      </c>
    </row>
    <row r="22">
      <c r="A22" s="3" t="n">
        <v>19</v>
      </c>
      <c r="B22" s="7">
        <f>05_BOOKING_MODEL!H22</f>
        <v/>
      </c>
      <c r="C22" s="7">
        <f>02_MARKETPLACE_ASSUMPTIONS!$B$16</f>
        <v/>
      </c>
      <c r="D22" s="7">
        <f>02_MARKETPLACE_ASSUMPTIONS!$B$17</f>
        <v/>
      </c>
      <c r="E22" s="7">
        <f>02_MARKETPLACE_ASSUMPTIONS!$B$18</f>
        <v/>
      </c>
      <c r="F22" s="7">
        <f>02_MARKETPLACE_ASSUMPTIONS!$B$19</f>
        <v/>
      </c>
      <c r="G22" s="7">
        <f>B22*C22</f>
        <v/>
      </c>
      <c r="H22" s="7">
        <f>B22*D22</f>
        <v/>
      </c>
      <c r="I22" s="7">
        <f>B22*E22</f>
        <v/>
      </c>
      <c r="J22" s="7">
        <f>B22*F22</f>
        <v/>
      </c>
      <c r="K22" s="7">
        <f>B22*02_MARKETPLACE_ASSUMPTIONS!$B$15</f>
        <v/>
      </c>
      <c r="L22" s="7">
        <f>B22*02_MARKETPLACE_ASSUMPTIONS!$B$14</f>
        <v/>
      </c>
      <c r="M22" s="7">
        <f>H22-K22-L22</f>
        <v/>
      </c>
    </row>
    <row r="23">
      <c r="A23" s="3" t="n">
        <v>20</v>
      </c>
      <c r="B23" s="7">
        <f>05_BOOKING_MODEL!H23</f>
        <v/>
      </c>
      <c r="C23" s="7">
        <f>02_MARKETPLACE_ASSUMPTIONS!$B$16</f>
        <v/>
      </c>
      <c r="D23" s="7">
        <f>02_MARKETPLACE_ASSUMPTIONS!$B$17</f>
        <v/>
      </c>
      <c r="E23" s="7">
        <f>02_MARKETPLACE_ASSUMPTIONS!$B$18</f>
        <v/>
      </c>
      <c r="F23" s="7">
        <f>02_MARKETPLACE_ASSUMPTIONS!$B$19</f>
        <v/>
      </c>
      <c r="G23" s="7">
        <f>B23*C23</f>
        <v/>
      </c>
      <c r="H23" s="7">
        <f>B23*D23</f>
        <v/>
      </c>
      <c r="I23" s="7">
        <f>B23*E23</f>
        <v/>
      </c>
      <c r="J23" s="7">
        <f>B23*F23</f>
        <v/>
      </c>
      <c r="K23" s="7">
        <f>B23*02_MARKETPLACE_ASSUMPTIONS!$B$15</f>
        <v/>
      </c>
      <c r="L23" s="7">
        <f>B23*02_MARKETPLACE_ASSUMPTIONS!$B$14</f>
        <v/>
      </c>
      <c r="M23" s="7">
        <f>H23-K23-L23</f>
        <v/>
      </c>
    </row>
    <row r="24">
      <c r="A24" s="3" t="n">
        <v>21</v>
      </c>
      <c r="B24" s="7">
        <f>05_BOOKING_MODEL!H24</f>
        <v/>
      </c>
      <c r="C24" s="7">
        <f>02_MARKETPLACE_ASSUMPTIONS!$B$16</f>
        <v/>
      </c>
      <c r="D24" s="7">
        <f>02_MARKETPLACE_ASSUMPTIONS!$B$17</f>
        <v/>
      </c>
      <c r="E24" s="7">
        <f>02_MARKETPLACE_ASSUMPTIONS!$B$18</f>
        <v/>
      </c>
      <c r="F24" s="7">
        <f>02_MARKETPLACE_ASSUMPTIONS!$B$19</f>
        <v/>
      </c>
      <c r="G24" s="7">
        <f>B24*C24</f>
        <v/>
      </c>
      <c r="H24" s="7">
        <f>B24*D24</f>
        <v/>
      </c>
      <c r="I24" s="7">
        <f>B24*E24</f>
        <v/>
      </c>
      <c r="J24" s="7">
        <f>B24*F24</f>
        <v/>
      </c>
      <c r="K24" s="7">
        <f>B24*02_MARKETPLACE_ASSUMPTIONS!$B$15</f>
        <v/>
      </c>
      <c r="L24" s="7">
        <f>B24*02_MARKETPLACE_ASSUMPTIONS!$B$14</f>
        <v/>
      </c>
      <c r="M24" s="7">
        <f>H24-K24-L24</f>
        <v/>
      </c>
    </row>
    <row r="25">
      <c r="A25" s="3" t="n">
        <v>22</v>
      </c>
      <c r="B25" s="7">
        <f>05_BOOKING_MODEL!H25</f>
        <v/>
      </c>
      <c r="C25" s="7">
        <f>02_MARKETPLACE_ASSUMPTIONS!$B$16</f>
        <v/>
      </c>
      <c r="D25" s="7">
        <f>02_MARKETPLACE_ASSUMPTIONS!$B$17</f>
        <v/>
      </c>
      <c r="E25" s="7">
        <f>02_MARKETPLACE_ASSUMPTIONS!$B$18</f>
        <v/>
      </c>
      <c r="F25" s="7">
        <f>02_MARKETPLACE_ASSUMPTIONS!$B$19</f>
        <v/>
      </c>
      <c r="G25" s="7">
        <f>B25*C25</f>
        <v/>
      </c>
      <c r="H25" s="7">
        <f>B25*D25</f>
        <v/>
      </c>
      <c r="I25" s="7">
        <f>B25*E25</f>
        <v/>
      </c>
      <c r="J25" s="7">
        <f>B25*F25</f>
        <v/>
      </c>
      <c r="K25" s="7">
        <f>B25*02_MARKETPLACE_ASSUMPTIONS!$B$15</f>
        <v/>
      </c>
      <c r="L25" s="7">
        <f>B25*02_MARKETPLACE_ASSUMPTIONS!$B$14</f>
        <v/>
      </c>
      <c r="M25" s="7">
        <f>H25-K25-L25</f>
        <v/>
      </c>
    </row>
    <row r="26">
      <c r="A26" s="3" t="n">
        <v>23</v>
      </c>
      <c r="B26" s="7">
        <f>05_BOOKING_MODEL!H26</f>
        <v/>
      </c>
      <c r="C26" s="7">
        <f>02_MARKETPLACE_ASSUMPTIONS!$B$16</f>
        <v/>
      </c>
      <c r="D26" s="7">
        <f>02_MARKETPLACE_ASSUMPTIONS!$B$17</f>
        <v/>
      </c>
      <c r="E26" s="7">
        <f>02_MARKETPLACE_ASSUMPTIONS!$B$18</f>
        <v/>
      </c>
      <c r="F26" s="7">
        <f>02_MARKETPLACE_ASSUMPTIONS!$B$19</f>
        <v/>
      </c>
      <c r="G26" s="7">
        <f>B26*C26</f>
        <v/>
      </c>
      <c r="H26" s="7">
        <f>B26*D26</f>
        <v/>
      </c>
      <c r="I26" s="7">
        <f>B26*E26</f>
        <v/>
      </c>
      <c r="J26" s="7">
        <f>B26*F26</f>
        <v/>
      </c>
      <c r="K26" s="7">
        <f>B26*02_MARKETPLACE_ASSUMPTIONS!$B$15</f>
        <v/>
      </c>
      <c r="L26" s="7">
        <f>B26*02_MARKETPLACE_ASSUMPTIONS!$B$14</f>
        <v/>
      </c>
      <c r="M26" s="7">
        <f>H26-K26-L26</f>
        <v/>
      </c>
    </row>
    <row r="27">
      <c r="A27" s="3" t="n">
        <v>24</v>
      </c>
      <c r="B27" s="7">
        <f>05_BOOKING_MODEL!H27</f>
        <v/>
      </c>
      <c r="C27" s="7">
        <f>02_MARKETPLACE_ASSUMPTIONS!$B$16</f>
        <v/>
      </c>
      <c r="D27" s="7">
        <f>02_MARKETPLACE_ASSUMPTIONS!$B$17</f>
        <v/>
      </c>
      <c r="E27" s="7">
        <f>02_MARKETPLACE_ASSUMPTIONS!$B$18</f>
        <v/>
      </c>
      <c r="F27" s="7">
        <f>02_MARKETPLACE_ASSUMPTIONS!$B$19</f>
        <v/>
      </c>
      <c r="G27" s="7">
        <f>B27*C27</f>
        <v/>
      </c>
      <c r="H27" s="7">
        <f>B27*D27</f>
        <v/>
      </c>
      <c r="I27" s="7">
        <f>B27*E27</f>
        <v/>
      </c>
      <c r="J27" s="7">
        <f>B27*F27</f>
        <v/>
      </c>
      <c r="K27" s="7">
        <f>B27*02_MARKETPLACE_ASSUMPTIONS!$B$15</f>
        <v/>
      </c>
      <c r="L27" s="7">
        <f>B27*02_MARKETPLACE_ASSUMPTIONS!$B$14</f>
        <v/>
      </c>
      <c r="M27" s="7">
        <f>H27-K27-L27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48" customWidth="1" min="9" max="9"/>
  </cols>
  <sheetData>
    <row r="1">
      <c r="A1" s="1" t="inlineStr">
        <is>
          <t>Variable Costs</t>
        </is>
      </c>
    </row>
    <row r="3">
      <c r="A3" s="4" t="inlineStr">
        <is>
          <t>Month</t>
        </is>
      </c>
      <c r="B3" s="4" t="inlineStr">
        <is>
          <t>GMV</t>
        </is>
      </c>
      <c r="C3" s="4" t="inlineStr">
        <is>
          <t>Payment processing</t>
        </is>
      </c>
      <c r="D3" s="4" t="inlineStr">
        <is>
          <t>Refund/service credits</t>
        </is>
      </c>
      <c r="E3" s="4" t="inlineStr">
        <is>
          <t>Host incentives</t>
        </is>
      </c>
      <c r="F3" s="4" t="inlineStr">
        <is>
          <t>Other variable costs</t>
        </is>
      </c>
      <c r="G3" s="4" t="inlineStr">
        <is>
          <t>Total variable costs</t>
        </is>
      </c>
      <c r="H3" s="4" t="inlineStr">
        <is>
          <t>Variable cost % GMV</t>
        </is>
      </c>
      <c r="I3" s="4" t="inlineStr">
        <is>
          <t>Notes</t>
        </is>
      </c>
    </row>
    <row r="4">
      <c r="A4" s="3" t="n">
        <v>1</v>
      </c>
      <c r="B4" s="7">
        <f>06_REVENUE_MODEL!B4</f>
        <v/>
      </c>
      <c r="C4" s="7">
        <f>06_REVENUE_MODEL!K4</f>
        <v/>
      </c>
      <c r="D4" s="7">
        <f>06_REVENUE_MODEL!L4</f>
        <v/>
      </c>
      <c r="E4" s="7" t="n">
        <v>0</v>
      </c>
      <c r="F4" s="7" t="n">
        <v>0</v>
      </c>
      <c r="G4" s="7">
        <f>SUM(C4:F4)</f>
        <v/>
      </c>
      <c r="H4" s="6">
        <f>IF(B4=0,0,G4/B4)</f>
        <v/>
      </c>
      <c r="I4" s="3" t="inlineStr">
        <is>
          <t>Host incentives intentionally separated from commission assumption</t>
        </is>
      </c>
    </row>
    <row r="5">
      <c r="A5" s="3" t="n">
        <v>2</v>
      </c>
      <c r="B5" s="7">
        <f>06_REVENUE_MODEL!B5</f>
        <v/>
      </c>
      <c r="C5" s="7">
        <f>06_REVENUE_MODEL!K5</f>
        <v/>
      </c>
      <c r="D5" s="7">
        <f>06_REVENUE_MODEL!L5</f>
        <v/>
      </c>
      <c r="E5" s="7" t="n">
        <v>0</v>
      </c>
      <c r="F5" s="7" t="n">
        <v>0</v>
      </c>
      <c r="G5" s="7">
        <f>SUM(C5:F5)</f>
        <v/>
      </c>
      <c r="H5" s="6">
        <f>IF(B5=0,0,G5/B5)</f>
        <v/>
      </c>
      <c r="I5" s="3" t="inlineStr">
        <is>
          <t>Host incentives intentionally separated from commission assumption</t>
        </is>
      </c>
    </row>
    <row r="6">
      <c r="A6" s="3" t="n">
        <v>3</v>
      </c>
      <c r="B6" s="7">
        <f>06_REVENUE_MODEL!B6</f>
        <v/>
      </c>
      <c r="C6" s="7">
        <f>06_REVENUE_MODEL!K6</f>
        <v/>
      </c>
      <c r="D6" s="7">
        <f>06_REVENUE_MODEL!L6</f>
        <v/>
      </c>
      <c r="E6" s="7" t="n">
        <v>0</v>
      </c>
      <c r="F6" s="7" t="n">
        <v>0</v>
      </c>
      <c r="G6" s="7">
        <f>SUM(C6:F6)</f>
        <v/>
      </c>
      <c r="H6" s="6">
        <f>IF(B6=0,0,G6/B6)</f>
        <v/>
      </c>
      <c r="I6" s="3" t="inlineStr">
        <is>
          <t>Host incentives intentionally separated from commission assumption</t>
        </is>
      </c>
    </row>
    <row r="7">
      <c r="A7" s="3" t="n">
        <v>4</v>
      </c>
      <c r="B7" s="7">
        <f>06_REVENUE_MODEL!B7</f>
        <v/>
      </c>
      <c r="C7" s="7">
        <f>06_REVENUE_MODEL!K7</f>
        <v/>
      </c>
      <c r="D7" s="7">
        <f>06_REVENUE_MODEL!L7</f>
        <v/>
      </c>
      <c r="E7" s="7" t="n">
        <v>0</v>
      </c>
      <c r="F7" s="7" t="n">
        <v>0</v>
      </c>
      <c r="G7" s="7">
        <f>SUM(C7:F7)</f>
        <v/>
      </c>
      <c r="H7" s="6">
        <f>IF(B7=0,0,G7/B7)</f>
        <v/>
      </c>
      <c r="I7" s="3" t="inlineStr">
        <is>
          <t>Host incentives intentionally separated from commission assumption</t>
        </is>
      </c>
    </row>
    <row r="8">
      <c r="A8" s="3" t="n">
        <v>5</v>
      </c>
      <c r="B8" s="7">
        <f>06_REVENUE_MODEL!B8</f>
        <v/>
      </c>
      <c r="C8" s="7">
        <f>06_REVENUE_MODEL!K8</f>
        <v/>
      </c>
      <c r="D8" s="7">
        <f>06_REVENUE_MODEL!L8</f>
        <v/>
      </c>
      <c r="E8" s="7" t="n">
        <v>0</v>
      </c>
      <c r="F8" s="7" t="n">
        <v>0</v>
      </c>
      <c r="G8" s="7">
        <f>SUM(C8:F8)</f>
        <v/>
      </c>
      <c r="H8" s="6">
        <f>IF(B8=0,0,G8/B8)</f>
        <v/>
      </c>
      <c r="I8" s="3" t="inlineStr">
        <is>
          <t>Host incentives intentionally separated from commission assumption</t>
        </is>
      </c>
    </row>
    <row r="9">
      <c r="A9" s="3" t="n">
        <v>6</v>
      </c>
      <c r="B9" s="7">
        <f>06_REVENUE_MODEL!B9</f>
        <v/>
      </c>
      <c r="C9" s="7">
        <f>06_REVENUE_MODEL!K9</f>
        <v/>
      </c>
      <c r="D9" s="7">
        <f>06_REVENUE_MODEL!L9</f>
        <v/>
      </c>
      <c r="E9" s="7" t="n">
        <v>0</v>
      </c>
      <c r="F9" s="7" t="n">
        <v>0</v>
      </c>
      <c r="G9" s="7">
        <f>SUM(C9:F9)</f>
        <v/>
      </c>
      <c r="H9" s="6">
        <f>IF(B9=0,0,G9/B9)</f>
        <v/>
      </c>
      <c r="I9" s="3" t="inlineStr">
        <is>
          <t>Host incentives intentionally separated from commission assumption</t>
        </is>
      </c>
    </row>
    <row r="10">
      <c r="A10" s="3" t="n">
        <v>7</v>
      </c>
      <c r="B10" s="7">
        <f>06_REVENUE_MODEL!B10</f>
        <v/>
      </c>
      <c r="C10" s="7">
        <f>06_REVENUE_MODEL!K10</f>
        <v/>
      </c>
      <c r="D10" s="7">
        <f>06_REVENUE_MODEL!L10</f>
        <v/>
      </c>
      <c r="E10" s="7" t="n">
        <v>0</v>
      </c>
      <c r="F10" s="7" t="n">
        <v>0</v>
      </c>
      <c r="G10" s="7">
        <f>SUM(C10:F10)</f>
        <v/>
      </c>
      <c r="H10" s="6">
        <f>IF(B10=0,0,G10/B10)</f>
        <v/>
      </c>
      <c r="I10" s="3" t="inlineStr">
        <is>
          <t>Host incentives intentionally separated from commission assumption</t>
        </is>
      </c>
    </row>
    <row r="11">
      <c r="A11" s="3" t="n">
        <v>8</v>
      </c>
      <c r="B11" s="7">
        <f>06_REVENUE_MODEL!B11</f>
        <v/>
      </c>
      <c r="C11" s="7">
        <f>06_REVENUE_MODEL!K11</f>
        <v/>
      </c>
      <c r="D11" s="7">
        <f>06_REVENUE_MODEL!L11</f>
        <v/>
      </c>
      <c r="E11" s="7" t="n">
        <v>0</v>
      </c>
      <c r="F11" s="7" t="n">
        <v>0</v>
      </c>
      <c r="G11" s="7">
        <f>SUM(C11:F11)</f>
        <v/>
      </c>
      <c r="H11" s="6">
        <f>IF(B11=0,0,G11/B11)</f>
        <v/>
      </c>
      <c r="I11" s="3" t="inlineStr">
        <is>
          <t>Host incentives intentionally separated from commission assumption</t>
        </is>
      </c>
    </row>
    <row r="12">
      <c r="A12" s="3" t="n">
        <v>9</v>
      </c>
      <c r="B12" s="7">
        <f>06_REVENUE_MODEL!B12</f>
        <v/>
      </c>
      <c r="C12" s="7">
        <f>06_REVENUE_MODEL!K12</f>
        <v/>
      </c>
      <c r="D12" s="7">
        <f>06_REVENUE_MODEL!L12</f>
        <v/>
      </c>
      <c r="E12" s="7" t="n">
        <v>0</v>
      </c>
      <c r="F12" s="7" t="n">
        <v>0</v>
      </c>
      <c r="G12" s="7">
        <f>SUM(C12:F12)</f>
        <v/>
      </c>
      <c r="H12" s="6">
        <f>IF(B12=0,0,G12/B12)</f>
        <v/>
      </c>
      <c r="I12" s="3" t="inlineStr">
        <is>
          <t>Host incentives intentionally separated from commission assumption</t>
        </is>
      </c>
    </row>
    <row r="13">
      <c r="A13" s="3" t="n">
        <v>10</v>
      </c>
      <c r="B13" s="7">
        <f>06_REVENUE_MODEL!B13</f>
        <v/>
      </c>
      <c r="C13" s="7">
        <f>06_REVENUE_MODEL!K13</f>
        <v/>
      </c>
      <c r="D13" s="7">
        <f>06_REVENUE_MODEL!L13</f>
        <v/>
      </c>
      <c r="E13" s="7" t="n">
        <v>0</v>
      </c>
      <c r="F13" s="7" t="n">
        <v>0</v>
      </c>
      <c r="G13" s="7">
        <f>SUM(C13:F13)</f>
        <v/>
      </c>
      <c r="H13" s="6">
        <f>IF(B13=0,0,G13/B13)</f>
        <v/>
      </c>
      <c r="I13" s="3" t="inlineStr">
        <is>
          <t>Host incentives intentionally separated from commission assumption</t>
        </is>
      </c>
    </row>
    <row r="14">
      <c r="A14" s="3" t="n">
        <v>11</v>
      </c>
      <c r="B14" s="7">
        <f>06_REVENUE_MODEL!B14</f>
        <v/>
      </c>
      <c r="C14" s="7">
        <f>06_REVENUE_MODEL!K14</f>
        <v/>
      </c>
      <c r="D14" s="7">
        <f>06_REVENUE_MODEL!L14</f>
        <v/>
      </c>
      <c r="E14" s="7" t="n">
        <v>0</v>
      </c>
      <c r="F14" s="7" t="n">
        <v>0</v>
      </c>
      <c r="G14" s="7">
        <f>SUM(C14:F14)</f>
        <v/>
      </c>
      <c r="H14" s="6">
        <f>IF(B14=0,0,G14/B14)</f>
        <v/>
      </c>
      <c r="I14" s="3" t="inlineStr">
        <is>
          <t>Host incentives intentionally separated from commission assumption</t>
        </is>
      </c>
    </row>
    <row r="15">
      <c r="A15" s="3" t="n">
        <v>12</v>
      </c>
      <c r="B15" s="7">
        <f>06_REVENUE_MODEL!B15</f>
        <v/>
      </c>
      <c r="C15" s="7">
        <f>06_REVENUE_MODEL!K15</f>
        <v/>
      </c>
      <c r="D15" s="7">
        <f>06_REVENUE_MODEL!L15</f>
        <v/>
      </c>
      <c r="E15" s="7" t="n">
        <v>0</v>
      </c>
      <c r="F15" s="7" t="n">
        <v>0</v>
      </c>
      <c r="G15" s="7">
        <f>SUM(C15:F15)</f>
        <v/>
      </c>
      <c r="H15" s="6">
        <f>IF(B15=0,0,G15/B15)</f>
        <v/>
      </c>
      <c r="I15" s="3" t="inlineStr">
        <is>
          <t>Host incentives intentionally separated from commission assumption</t>
        </is>
      </c>
    </row>
    <row r="16">
      <c r="A16" s="3" t="n">
        <v>13</v>
      </c>
      <c r="B16" s="7">
        <f>06_REVENUE_MODEL!B16</f>
        <v/>
      </c>
      <c r="C16" s="7">
        <f>06_REVENUE_MODEL!K16</f>
        <v/>
      </c>
      <c r="D16" s="7">
        <f>06_REVENUE_MODEL!L16</f>
        <v/>
      </c>
      <c r="E16" s="7" t="n">
        <v>0</v>
      </c>
      <c r="F16" s="7" t="n">
        <v>0</v>
      </c>
      <c r="G16" s="7">
        <f>SUM(C16:F16)</f>
        <v/>
      </c>
      <c r="H16" s="6">
        <f>IF(B16=0,0,G16/B16)</f>
        <v/>
      </c>
      <c r="I16" s="3" t="inlineStr">
        <is>
          <t>Host incentives intentionally separated from commission assumption</t>
        </is>
      </c>
    </row>
    <row r="17">
      <c r="A17" s="3" t="n">
        <v>14</v>
      </c>
      <c r="B17" s="7">
        <f>06_REVENUE_MODEL!B17</f>
        <v/>
      </c>
      <c r="C17" s="7">
        <f>06_REVENUE_MODEL!K17</f>
        <v/>
      </c>
      <c r="D17" s="7">
        <f>06_REVENUE_MODEL!L17</f>
        <v/>
      </c>
      <c r="E17" s="7" t="n">
        <v>0</v>
      </c>
      <c r="F17" s="7" t="n">
        <v>0</v>
      </c>
      <c r="G17" s="7">
        <f>SUM(C17:F17)</f>
        <v/>
      </c>
      <c r="H17" s="6">
        <f>IF(B17=0,0,G17/B17)</f>
        <v/>
      </c>
      <c r="I17" s="3" t="inlineStr">
        <is>
          <t>Host incentives intentionally separated from commission assumption</t>
        </is>
      </c>
    </row>
    <row r="18">
      <c r="A18" s="3" t="n">
        <v>15</v>
      </c>
      <c r="B18" s="7">
        <f>06_REVENUE_MODEL!B18</f>
        <v/>
      </c>
      <c r="C18" s="7">
        <f>06_REVENUE_MODEL!K18</f>
        <v/>
      </c>
      <c r="D18" s="7">
        <f>06_REVENUE_MODEL!L18</f>
        <v/>
      </c>
      <c r="E18" s="7" t="n">
        <v>0</v>
      </c>
      <c r="F18" s="7" t="n">
        <v>0</v>
      </c>
      <c r="G18" s="7">
        <f>SUM(C18:F18)</f>
        <v/>
      </c>
      <c r="H18" s="6">
        <f>IF(B18=0,0,G18/B18)</f>
        <v/>
      </c>
      <c r="I18" s="3" t="inlineStr">
        <is>
          <t>Host incentives intentionally separated from commission assumption</t>
        </is>
      </c>
    </row>
    <row r="19">
      <c r="A19" s="3" t="n">
        <v>16</v>
      </c>
      <c r="B19" s="7">
        <f>06_REVENUE_MODEL!B19</f>
        <v/>
      </c>
      <c r="C19" s="7">
        <f>06_REVENUE_MODEL!K19</f>
        <v/>
      </c>
      <c r="D19" s="7">
        <f>06_REVENUE_MODEL!L19</f>
        <v/>
      </c>
      <c r="E19" s="7" t="n">
        <v>0</v>
      </c>
      <c r="F19" s="7" t="n">
        <v>0</v>
      </c>
      <c r="G19" s="7">
        <f>SUM(C19:F19)</f>
        <v/>
      </c>
      <c r="H19" s="6">
        <f>IF(B19=0,0,G19/B19)</f>
        <v/>
      </c>
      <c r="I19" s="3" t="inlineStr">
        <is>
          <t>Host incentives intentionally separated from commission assumption</t>
        </is>
      </c>
    </row>
    <row r="20">
      <c r="A20" s="3" t="n">
        <v>17</v>
      </c>
      <c r="B20" s="7">
        <f>06_REVENUE_MODEL!B20</f>
        <v/>
      </c>
      <c r="C20" s="7">
        <f>06_REVENUE_MODEL!K20</f>
        <v/>
      </c>
      <c r="D20" s="7">
        <f>06_REVENUE_MODEL!L20</f>
        <v/>
      </c>
      <c r="E20" s="7" t="n">
        <v>0</v>
      </c>
      <c r="F20" s="7" t="n">
        <v>0</v>
      </c>
      <c r="G20" s="7">
        <f>SUM(C20:F20)</f>
        <v/>
      </c>
      <c r="H20" s="6">
        <f>IF(B20=0,0,G20/B20)</f>
        <v/>
      </c>
      <c r="I20" s="3" t="inlineStr">
        <is>
          <t>Host incentives intentionally separated from commission assumption</t>
        </is>
      </c>
    </row>
    <row r="21">
      <c r="A21" s="3" t="n">
        <v>18</v>
      </c>
      <c r="B21" s="7">
        <f>06_REVENUE_MODEL!B21</f>
        <v/>
      </c>
      <c r="C21" s="7">
        <f>06_REVENUE_MODEL!K21</f>
        <v/>
      </c>
      <c r="D21" s="7">
        <f>06_REVENUE_MODEL!L21</f>
        <v/>
      </c>
      <c r="E21" s="7" t="n">
        <v>0</v>
      </c>
      <c r="F21" s="7" t="n">
        <v>0</v>
      </c>
      <c r="G21" s="7">
        <f>SUM(C21:F21)</f>
        <v/>
      </c>
      <c r="H21" s="6">
        <f>IF(B21=0,0,G21/B21)</f>
        <v/>
      </c>
      <c r="I21" s="3" t="inlineStr">
        <is>
          <t>Host incentives intentionally separated from commission assumption</t>
        </is>
      </c>
    </row>
    <row r="22">
      <c r="A22" s="3" t="n">
        <v>19</v>
      </c>
      <c r="B22" s="7">
        <f>06_REVENUE_MODEL!B22</f>
        <v/>
      </c>
      <c r="C22" s="7">
        <f>06_REVENUE_MODEL!K22</f>
        <v/>
      </c>
      <c r="D22" s="7">
        <f>06_REVENUE_MODEL!L22</f>
        <v/>
      </c>
      <c r="E22" s="7" t="n">
        <v>0</v>
      </c>
      <c r="F22" s="7" t="n">
        <v>0</v>
      </c>
      <c r="G22" s="7">
        <f>SUM(C22:F22)</f>
        <v/>
      </c>
      <c r="H22" s="6">
        <f>IF(B22=0,0,G22/B22)</f>
        <v/>
      </c>
      <c r="I22" s="3" t="inlineStr">
        <is>
          <t>Host incentives intentionally separated from commission assumption</t>
        </is>
      </c>
    </row>
    <row r="23">
      <c r="A23" s="3" t="n">
        <v>20</v>
      </c>
      <c r="B23" s="7">
        <f>06_REVENUE_MODEL!B23</f>
        <v/>
      </c>
      <c r="C23" s="7">
        <f>06_REVENUE_MODEL!K23</f>
        <v/>
      </c>
      <c r="D23" s="7">
        <f>06_REVENUE_MODEL!L23</f>
        <v/>
      </c>
      <c r="E23" s="7" t="n">
        <v>0</v>
      </c>
      <c r="F23" s="7" t="n">
        <v>0</v>
      </c>
      <c r="G23" s="7">
        <f>SUM(C23:F23)</f>
        <v/>
      </c>
      <c r="H23" s="6">
        <f>IF(B23=0,0,G23/B23)</f>
        <v/>
      </c>
      <c r="I23" s="3" t="inlineStr">
        <is>
          <t>Host incentives intentionally separated from commission assumption</t>
        </is>
      </c>
    </row>
    <row r="24">
      <c r="A24" s="3" t="n">
        <v>21</v>
      </c>
      <c r="B24" s="7">
        <f>06_REVENUE_MODEL!B24</f>
        <v/>
      </c>
      <c r="C24" s="7">
        <f>06_REVENUE_MODEL!K24</f>
        <v/>
      </c>
      <c r="D24" s="7">
        <f>06_REVENUE_MODEL!L24</f>
        <v/>
      </c>
      <c r="E24" s="7" t="n">
        <v>0</v>
      </c>
      <c r="F24" s="7" t="n">
        <v>0</v>
      </c>
      <c r="G24" s="7">
        <f>SUM(C24:F24)</f>
        <v/>
      </c>
      <c r="H24" s="6">
        <f>IF(B24=0,0,G24/B24)</f>
        <v/>
      </c>
      <c r="I24" s="3" t="inlineStr">
        <is>
          <t>Host incentives intentionally separated from commission assumption</t>
        </is>
      </c>
    </row>
    <row r="25">
      <c r="A25" s="3" t="n">
        <v>22</v>
      </c>
      <c r="B25" s="7">
        <f>06_REVENUE_MODEL!B25</f>
        <v/>
      </c>
      <c r="C25" s="7">
        <f>06_REVENUE_MODEL!K25</f>
        <v/>
      </c>
      <c r="D25" s="7">
        <f>06_REVENUE_MODEL!L25</f>
        <v/>
      </c>
      <c r="E25" s="7" t="n">
        <v>0</v>
      </c>
      <c r="F25" s="7" t="n">
        <v>0</v>
      </c>
      <c r="G25" s="7">
        <f>SUM(C25:F25)</f>
        <v/>
      </c>
      <c r="H25" s="6">
        <f>IF(B25=0,0,G25/B25)</f>
        <v/>
      </c>
      <c r="I25" s="3" t="inlineStr">
        <is>
          <t>Host incentives intentionally separated from commission assumption</t>
        </is>
      </c>
    </row>
    <row r="26">
      <c r="A26" s="3" t="n">
        <v>23</v>
      </c>
      <c r="B26" s="7">
        <f>06_REVENUE_MODEL!B26</f>
        <v/>
      </c>
      <c r="C26" s="7">
        <f>06_REVENUE_MODEL!K26</f>
        <v/>
      </c>
      <c r="D26" s="7">
        <f>06_REVENUE_MODEL!L26</f>
        <v/>
      </c>
      <c r="E26" s="7" t="n">
        <v>0</v>
      </c>
      <c r="F26" s="7" t="n">
        <v>0</v>
      </c>
      <c r="G26" s="7">
        <f>SUM(C26:F26)</f>
        <v/>
      </c>
      <c r="H26" s="6">
        <f>IF(B26=0,0,G26/B26)</f>
        <v/>
      </c>
      <c r="I26" s="3" t="inlineStr">
        <is>
          <t>Host incentives intentionally separated from commission assumption</t>
        </is>
      </c>
    </row>
    <row r="27">
      <c r="A27" s="3" t="n">
        <v>24</v>
      </c>
      <c r="B27" s="7">
        <f>06_REVENUE_MODEL!B27</f>
        <v/>
      </c>
      <c r="C27" s="7">
        <f>06_REVENUE_MODEL!K27</f>
        <v/>
      </c>
      <c r="D27" s="7">
        <f>06_REVENUE_MODEL!L27</f>
        <v/>
      </c>
      <c r="E27" s="7" t="n">
        <v>0</v>
      </c>
      <c r="F27" s="7" t="n">
        <v>0</v>
      </c>
      <c r="G27" s="7">
        <f>SUM(C27:F27)</f>
        <v/>
      </c>
      <c r="H27" s="6">
        <f>IF(B27=0,0,G27/B27)</f>
        <v/>
      </c>
      <c r="I27" s="3" t="inlineStr">
        <is>
          <t>Host incentives intentionally separated from commission assumption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18" customWidth="1" min="5" max="5"/>
    <col width="20" customWidth="1" min="6" max="6"/>
    <col width="18" customWidth="1" min="7" max="7"/>
    <col width="20" customWidth="1" min="8" max="8"/>
    <col width="48" customWidth="1" min="9" max="9"/>
  </cols>
  <sheetData>
    <row r="1">
      <c r="A1" s="1" t="inlineStr">
        <is>
          <t>Fixed Operating Costs</t>
        </is>
      </c>
    </row>
    <row r="3">
      <c r="A3" s="4" t="inlineStr">
        <is>
          <t>Month</t>
        </is>
      </c>
      <c r="B3" s="4" t="inlineStr">
        <is>
          <t>Payroll</t>
        </is>
      </c>
      <c r="C3" s="4" t="inlineStr">
        <is>
          <t>Infrastructure</t>
        </is>
      </c>
      <c r="D3" s="4" t="inlineStr">
        <is>
          <t>Office/Admin</t>
        </is>
      </c>
      <c r="E3" s="4" t="inlineStr">
        <is>
          <t>Marketing</t>
        </is>
      </c>
      <c r="F3" s="4" t="inlineStr">
        <is>
          <t>Legal/Compliance</t>
        </is>
      </c>
      <c r="G3" s="4" t="inlineStr">
        <is>
          <t>Other fixed</t>
        </is>
      </c>
      <c r="H3" s="4" t="inlineStr">
        <is>
          <t>Total fixed costs</t>
        </is>
      </c>
      <c r="I3" s="4" t="inlineStr">
        <is>
          <t>Notes</t>
        </is>
      </c>
      <c r="J3" s="12" t="inlineStr"/>
      <c r="K3" s="12" t="inlineStr"/>
      <c r="L3" s="12" t="inlineStr"/>
    </row>
    <row r="4">
      <c r="A4" s="3" t="n">
        <v>1</v>
      </c>
      <c r="B4" s="7">
        <f>02_MARKETPLACE_ASSUMPTIONS!$B$20</f>
        <v/>
      </c>
      <c r="C4" s="7">
        <f>02_MARKETPLACE_ASSUMPTIONS!$B$21</f>
        <v/>
      </c>
      <c r="D4" s="7">
        <f>02_MARKETPLACE_ASSUMPTIONS!$B$22</f>
        <v/>
      </c>
      <c r="E4" s="7">
        <f>02_MARKETPLACE_ASSUMPTIONS!$B$23</f>
        <v/>
      </c>
      <c r="F4" s="7" t="n">
        <v>0</v>
      </c>
      <c r="G4" s="7" t="n">
        <v>0</v>
      </c>
      <c r="H4" s="7">
        <f>SUM(B4:G4)</f>
        <v/>
      </c>
      <c r="I4" s="3" t="inlineStr">
        <is>
          <t>Planning assumptions — replace with actual commitments</t>
        </is>
      </c>
    </row>
    <row r="5">
      <c r="A5" s="3" t="n">
        <v>2</v>
      </c>
      <c r="B5" s="7">
        <f>02_MARKETPLACE_ASSUMPTIONS!$B$20</f>
        <v/>
      </c>
      <c r="C5" s="7">
        <f>02_MARKETPLACE_ASSUMPTIONS!$B$21</f>
        <v/>
      </c>
      <c r="D5" s="7">
        <f>02_MARKETPLACE_ASSUMPTIONS!$B$22</f>
        <v/>
      </c>
      <c r="E5" s="7">
        <f>02_MARKETPLACE_ASSUMPTIONS!$B$23</f>
        <v/>
      </c>
      <c r="F5" s="7" t="n">
        <v>0</v>
      </c>
      <c r="G5" s="7" t="n">
        <v>0</v>
      </c>
      <c r="H5" s="7">
        <f>SUM(B5:G5)</f>
        <v/>
      </c>
      <c r="I5" s="3" t="inlineStr">
        <is>
          <t>Planning assumptions — replace with actual commitments</t>
        </is>
      </c>
    </row>
    <row r="6">
      <c r="A6" s="3" t="n">
        <v>3</v>
      </c>
      <c r="B6" s="7">
        <f>02_MARKETPLACE_ASSUMPTIONS!$B$20</f>
        <v/>
      </c>
      <c r="C6" s="7">
        <f>02_MARKETPLACE_ASSUMPTIONS!$B$21</f>
        <v/>
      </c>
      <c r="D6" s="7">
        <f>02_MARKETPLACE_ASSUMPTIONS!$B$22</f>
        <v/>
      </c>
      <c r="E6" s="7">
        <f>02_MARKETPLACE_ASSUMPTIONS!$B$23</f>
        <v/>
      </c>
      <c r="F6" s="7" t="n">
        <v>0</v>
      </c>
      <c r="G6" s="7" t="n">
        <v>0</v>
      </c>
      <c r="H6" s="7">
        <f>SUM(B6:G6)</f>
        <v/>
      </c>
      <c r="I6" s="3" t="inlineStr">
        <is>
          <t>Planning assumptions — replace with actual commitments</t>
        </is>
      </c>
    </row>
    <row r="7">
      <c r="A7" s="3" t="n">
        <v>4</v>
      </c>
      <c r="B7" s="7">
        <f>02_MARKETPLACE_ASSUMPTIONS!$B$20</f>
        <v/>
      </c>
      <c r="C7" s="7">
        <f>02_MARKETPLACE_ASSUMPTIONS!$B$21</f>
        <v/>
      </c>
      <c r="D7" s="7">
        <f>02_MARKETPLACE_ASSUMPTIONS!$B$22</f>
        <v/>
      </c>
      <c r="E7" s="7">
        <f>02_MARKETPLACE_ASSUMPTIONS!$B$23</f>
        <v/>
      </c>
      <c r="F7" s="7" t="n">
        <v>0</v>
      </c>
      <c r="G7" s="7" t="n">
        <v>0</v>
      </c>
      <c r="H7" s="7">
        <f>SUM(B7:G7)</f>
        <v/>
      </c>
      <c r="I7" s="3" t="inlineStr">
        <is>
          <t>Planning assumptions — replace with actual commitments</t>
        </is>
      </c>
    </row>
    <row r="8">
      <c r="A8" s="3" t="n">
        <v>5</v>
      </c>
      <c r="B8" s="7">
        <f>02_MARKETPLACE_ASSUMPTIONS!$B$20</f>
        <v/>
      </c>
      <c r="C8" s="7">
        <f>02_MARKETPLACE_ASSUMPTIONS!$B$21</f>
        <v/>
      </c>
      <c r="D8" s="7">
        <f>02_MARKETPLACE_ASSUMPTIONS!$B$22</f>
        <v/>
      </c>
      <c r="E8" s="7">
        <f>02_MARKETPLACE_ASSUMPTIONS!$B$23</f>
        <v/>
      </c>
      <c r="F8" s="7" t="n">
        <v>0</v>
      </c>
      <c r="G8" s="7" t="n">
        <v>0</v>
      </c>
      <c r="H8" s="7">
        <f>SUM(B8:G8)</f>
        <v/>
      </c>
      <c r="I8" s="3" t="inlineStr">
        <is>
          <t>Planning assumptions — replace with actual commitments</t>
        </is>
      </c>
    </row>
    <row r="9">
      <c r="A9" s="3" t="n">
        <v>6</v>
      </c>
      <c r="B9" s="7">
        <f>02_MARKETPLACE_ASSUMPTIONS!$B$20</f>
        <v/>
      </c>
      <c r="C9" s="7">
        <f>02_MARKETPLACE_ASSUMPTIONS!$B$21</f>
        <v/>
      </c>
      <c r="D9" s="7">
        <f>02_MARKETPLACE_ASSUMPTIONS!$B$22</f>
        <v/>
      </c>
      <c r="E9" s="7">
        <f>02_MARKETPLACE_ASSUMPTIONS!$B$23</f>
        <v/>
      </c>
      <c r="F9" s="7" t="n">
        <v>0</v>
      </c>
      <c r="G9" s="7" t="n">
        <v>0</v>
      </c>
      <c r="H9" s="7">
        <f>SUM(B9:G9)</f>
        <v/>
      </c>
      <c r="I9" s="3" t="inlineStr">
        <is>
          <t>Planning assumptions — replace with actual commitments</t>
        </is>
      </c>
    </row>
    <row r="10">
      <c r="A10" s="3" t="n">
        <v>7</v>
      </c>
      <c r="B10" s="7">
        <f>02_MARKETPLACE_ASSUMPTIONS!$B$20</f>
        <v/>
      </c>
      <c r="C10" s="7">
        <f>02_MARKETPLACE_ASSUMPTIONS!$B$21</f>
        <v/>
      </c>
      <c r="D10" s="7">
        <f>02_MARKETPLACE_ASSUMPTIONS!$B$22</f>
        <v/>
      </c>
      <c r="E10" s="7">
        <f>02_MARKETPLACE_ASSUMPTIONS!$B$23</f>
        <v/>
      </c>
      <c r="F10" s="7" t="n">
        <v>0</v>
      </c>
      <c r="G10" s="7" t="n">
        <v>0</v>
      </c>
      <c r="H10" s="7">
        <f>SUM(B10:G10)</f>
        <v/>
      </c>
      <c r="I10" s="3" t="inlineStr">
        <is>
          <t>Planning assumptions — replace with actual commitments</t>
        </is>
      </c>
    </row>
    <row r="11">
      <c r="A11" s="3" t="n">
        <v>8</v>
      </c>
      <c r="B11" s="7">
        <f>02_MARKETPLACE_ASSUMPTIONS!$B$20</f>
        <v/>
      </c>
      <c r="C11" s="7">
        <f>02_MARKETPLACE_ASSUMPTIONS!$B$21</f>
        <v/>
      </c>
      <c r="D11" s="7">
        <f>02_MARKETPLACE_ASSUMPTIONS!$B$22</f>
        <v/>
      </c>
      <c r="E11" s="7">
        <f>02_MARKETPLACE_ASSUMPTIONS!$B$23</f>
        <v/>
      </c>
      <c r="F11" s="7" t="n">
        <v>0</v>
      </c>
      <c r="G11" s="7" t="n">
        <v>0</v>
      </c>
      <c r="H11" s="7">
        <f>SUM(B11:G11)</f>
        <v/>
      </c>
      <c r="I11" s="3" t="inlineStr">
        <is>
          <t>Planning assumptions — replace with actual commitments</t>
        </is>
      </c>
    </row>
    <row r="12">
      <c r="A12" s="3" t="n">
        <v>9</v>
      </c>
      <c r="B12" s="7">
        <f>02_MARKETPLACE_ASSUMPTIONS!$B$20</f>
        <v/>
      </c>
      <c r="C12" s="7">
        <f>02_MARKETPLACE_ASSUMPTIONS!$B$21</f>
        <v/>
      </c>
      <c r="D12" s="7">
        <f>02_MARKETPLACE_ASSUMPTIONS!$B$22</f>
        <v/>
      </c>
      <c r="E12" s="7">
        <f>02_MARKETPLACE_ASSUMPTIONS!$B$23</f>
        <v/>
      </c>
      <c r="F12" s="7" t="n">
        <v>0</v>
      </c>
      <c r="G12" s="7" t="n">
        <v>0</v>
      </c>
      <c r="H12" s="7">
        <f>SUM(B12:G12)</f>
        <v/>
      </c>
      <c r="I12" s="3" t="inlineStr">
        <is>
          <t>Planning assumptions — replace with actual commitments</t>
        </is>
      </c>
    </row>
    <row r="13">
      <c r="A13" s="3" t="n">
        <v>10</v>
      </c>
      <c r="B13" s="7">
        <f>02_MARKETPLACE_ASSUMPTIONS!$B$20</f>
        <v/>
      </c>
      <c r="C13" s="7">
        <f>02_MARKETPLACE_ASSUMPTIONS!$B$21</f>
        <v/>
      </c>
      <c r="D13" s="7">
        <f>02_MARKETPLACE_ASSUMPTIONS!$B$22</f>
        <v/>
      </c>
      <c r="E13" s="7">
        <f>02_MARKETPLACE_ASSUMPTIONS!$B$23</f>
        <v/>
      </c>
      <c r="F13" s="7" t="n">
        <v>0</v>
      </c>
      <c r="G13" s="7" t="n">
        <v>0</v>
      </c>
      <c r="H13" s="7">
        <f>SUM(B13:G13)</f>
        <v/>
      </c>
      <c r="I13" s="3" t="inlineStr">
        <is>
          <t>Planning assumptions — replace with actual commitments</t>
        </is>
      </c>
    </row>
    <row r="14">
      <c r="A14" s="3" t="n">
        <v>11</v>
      </c>
      <c r="B14" s="7">
        <f>02_MARKETPLACE_ASSUMPTIONS!$B$20</f>
        <v/>
      </c>
      <c r="C14" s="7">
        <f>02_MARKETPLACE_ASSUMPTIONS!$B$21</f>
        <v/>
      </c>
      <c r="D14" s="7">
        <f>02_MARKETPLACE_ASSUMPTIONS!$B$22</f>
        <v/>
      </c>
      <c r="E14" s="7">
        <f>02_MARKETPLACE_ASSUMPTIONS!$B$23</f>
        <v/>
      </c>
      <c r="F14" s="7" t="n">
        <v>0</v>
      </c>
      <c r="G14" s="7" t="n">
        <v>0</v>
      </c>
      <c r="H14" s="7">
        <f>SUM(B14:G14)</f>
        <v/>
      </c>
      <c r="I14" s="3" t="inlineStr">
        <is>
          <t>Planning assumptions — replace with actual commitments</t>
        </is>
      </c>
    </row>
    <row r="15">
      <c r="A15" s="3" t="n">
        <v>12</v>
      </c>
      <c r="B15" s="7">
        <f>02_MARKETPLACE_ASSUMPTIONS!$B$20</f>
        <v/>
      </c>
      <c r="C15" s="7">
        <f>02_MARKETPLACE_ASSUMPTIONS!$B$21</f>
        <v/>
      </c>
      <c r="D15" s="7">
        <f>02_MARKETPLACE_ASSUMPTIONS!$B$22</f>
        <v/>
      </c>
      <c r="E15" s="7">
        <f>02_MARKETPLACE_ASSUMPTIONS!$B$23</f>
        <v/>
      </c>
      <c r="F15" s="7" t="n">
        <v>0</v>
      </c>
      <c r="G15" s="7" t="n">
        <v>0</v>
      </c>
      <c r="H15" s="7">
        <f>SUM(B15:G15)</f>
        <v/>
      </c>
      <c r="I15" s="3" t="inlineStr">
        <is>
          <t>Planning assumptions — replace with actual commitments</t>
        </is>
      </c>
    </row>
    <row r="16">
      <c r="A16" s="3" t="n">
        <v>13</v>
      </c>
      <c r="B16" s="7">
        <f>02_MARKETPLACE_ASSUMPTIONS!$B$20</f>
        <v/>
      </c>
      <c r="C16" s="7">
        <f>02_MARKETPLACE_ASSUMPTIONS!$B$21</f>
        <v/>
      </c>
      <c r="D16" s="7">
        <f>02_MARKETPLACE_ASSUMPTIONS!$B$22</f>
        <v/>
      </c>
      <c r="E16" s="7">
        <f>02_MARKETPLACE_ASSUMPTIONS!$B$23</f>
        <v/>
      </c>
      <c r="F16" s="7" t="n">
        <v>0</v>
      </c>
      <c r="G16" s="7" t="n">
        <v>0</v>
      </c>
      <c r="H16" s="7">
        <f>SUM(B16:G16)</f>
        <v/>
      </c>
      <c r="I16" s="3" t="inlineStr">
        <is>
          <t>Planning assumptions — replace with actual commitments</t>
        </is>
      </c>
    </row>
    <row r="17">
      <c r="A17" s="3" t="n">
        <v>14</v>
      </c>
      <c r="B17" s="7">
        <f>02_MARKETPLACE_ASSUMPTIONS!$B$20</f>
        <v/>
      </c>
      <c r="C17" s="7">
        <f>02_MARKETPLACE_ASSUMPTIONS!$B$21</f>
        <v/>
      </c>
      <c r="D17" s="7">
        <f>02_MARKETPLACE_ASSUMPTIONS!$B$22</f>
        <v/>
      </c>
      <c r="E17" s="7">
        <f>02_MARKETPLACE_ASSUMPTIONS!$B$23</f>
        <v/>
      </c>
      <c r="F17" s="7" t="n">
        <v>0</v>
      </c>
      <c r="G17" s="7" t="n">
        <v>0</v>
      </c>
      <c r="H17" s="7">
        <f>SUM(B17:G17)</f>
        <v/>
      </c>
      <c r="I17" s="3" t="inlineStr">
        <is>
          <t>Planning assumptions — replace with actual commitments</t>
        </is>
      </c>
    </row>
    <row r="18">
      <c r="A18" s="3" t="n">
        <v>15</v>
      </c>
      <c r="B18" s="7">
        <f>02_MARKETPLACE_ASSUMPTIONS!$B$20</f>
        <v/>
      </c>
      <c r="C18" s="7">
        <f>02_MARKETPLACE_ASSUMPTIONS!$B$21</f>
        <v/>
      </c>
      <c r="D18" s="7">
        <f>02_MARKETPLACE_ASSUMPTIONS!$B$22</f>
        <v/>
      </c>
      <c r="E18" s="7">
        <f>02_MARKETPLACE_ASSUMPTIONS!$B$23</f>
        <v/>
      </c>
      <c r="F18" s="7" t="n">
        <v>0</v>
      </c>
      <c r="G18" s="7" t="n">
        <v>0</v>
      </c>
      <c r="H18" s="7">
        <f>SUM(B18:G18)</f>
        <v/>
      </c>
      <c r="I18" s="3" t="inlineStr">
        <is>
          <t>Planning assumptions — replace with actual commitments</t>
        </is>
      </c>
    </row>
    <row r="19">
      <c r="A19" s="3" t="n">
        <v>16</v>
      </c>
      <c r="B19" s="7">
        <f>02_MARKETPLACE_ASSUMPTIONS!$B$20</f>
        <v/>
      </c>
      <c r="C19" s="7">
        <f>02_MARKETPLACE_ASSUMPTIONS!$B$21</f>
        <v/>
      </c>
      <c r="D19" s="7">
        <f>02_MARKETPLACE_ASSUMPTIONS!$B$22</f>
        <v/>
      </c>
      <c r="E19" s="7">
        <f>02_MARKETPLACE_ASSUMPTIONS!$B$23</f>
        <v/>
      </c>
      <c r="F19" s="7" t="n">
        <v>0</v>
      </c>
      <c r="G19" s="7" t="n">
        <v>0</v>
      </c>
      <c r="H19" s="7">
        <f>SUM(B19:G19)</f>
        <v/>
      </c>
      <c r="I19" s="3" t="inlineStr">
        <is>
          <t>Planning assumptions — replace with actual commitments</t>
        </is>
      </c>
    </row>
    <row r="20">
      <c r="A20" s="3" t="n">
        <v>17</v>
      </c>
      <c r="B20" s="7">
        <f>02_MARKETPLACE_ASSUMPTIONS!$B$20</f>
        <v/>
      </c>
      <c r="C20" s="7">
        <f>02_MARKETPLACE_ASSUMPTIONS!$B$21</f>
        <v/>
      </c>
      <c r="D20" s="7">
        <f>02_MARKETPLACE_ASSUMPTIONS!$B$22</f>
        <v/>
      </c>
      <c r="E20" s="7">
        <f>02_MARKETPLACE_ASSUMPTIONS!$B$23</f>
        <v/>
      </c>
      <c r="F20" s="7" t="n">
        <v>0</v>
      </c>
      <c r="G20" s="7" t="n">
        <v>0</v>
      </c>
      <c r="H20" s="7">
        <f>SUM(B20:G20)</f>
        <v/>
      </c>
      <c r="I20" s="3" t="inlineStr">
        <is>
          <t>Planning assumptions — replace with actual commitments</t>
        </is>
      </c>
    </row>
    <row r="21">
      <c r="A21" s="3" t="n">
        <v>18</v>
      </c>
      <c r="B21" s="7">
        <f>02_MARKETPLACE_ASSUMPTIONS!$B$20</f>
        <v/>
      </c>
      <c r="C21" s="7">
        <f>02_MARKETPLACE_ASSUMPTIONS!$B$21</f>
        <v/>
      </c>
      <c r="D21" s="7">
        <f>02_MARKETPLACE_ASSUMPTIONS!$B$22</f>
        <v/>
      </c>
      <c r="E21" s="7">
        <f>02_MARKETPLACE_ASSUMPTIONS!$B$23</f>
        <v/>
      </c>
      <c r="F21" s="7" t="n">
        <v>0</v>
      </c>
      <c r="G21" s="7" t="n">
        <v>0</v>
      </c>
      <c r="H21" s="7">
        <f>SUM(B21:G21)</f>
        <v/>
      </c>
      <c r="I21" s="3" t="inlineStr">
        <is>
          <t>Planning assumptions — replace with actual commitments</t>
        </is>
      </c>
    </row>
    <row r="22">
      <c r="A22" s="3" t="n">
        <v>19</v>
      </c>
      <c r="B22" s="7">
        <f>02_MARKETPLACE_ASSUMPTIONS!$B$20</f>
        <v/>
      </c>
      <c r="C22" s="7">
        <f>02_MARKETPLACE_ASSUMPTIONS!$B$21</f>
        <v/>
      </c>
      <c r="D22" s="7">
        <f>02_MARKETPLACE_ASSUMPTIONS!$B$22</f>
        <v/>
      </c>
      <c r="E22" s="7">
        <f>02_MARKETPLACE_ASSUMPTIONS!$B$23</f>
        <v/>
      </c>
      <c r="F22" s="7" t="n">
        <v>0</v>
      </c>
      <c r="G22" s="7" t="n">
        <v>0</v>
      </c>
      <c r="H22" s="7">
        <f>SUM(B22:G22)</f>
        <v/>
      </c>
      <c r="I22" s="3" t="inlineStr">
        <is>
          <t>Planning assumptions — replace with actual commitments</t>
        </is>
      </c>
    </row>
    <row r="23">
      <c r="A23" s="3" t="n">
        <v>20</v>
      </c>
      <c r="B23" s="7">
        <f>02_MARKETPLACE_ASSUMPTIONS!$B$20</f>
        <v/>
      </c>
      <c r="C23" s="7">
        <f>02_MARKETPLACE_ASSUMPTIONS!$B$21</f>
        <v/>
      </c>
      <c r="D23" s="7">
        <f>02_MARKETPLACE_ASSUMPTIONS!$B$22</f>
        <v/>
      </c>
      <c r="E23" s="7">
        <f>02_MARKETPLACE_ASSUMPTIONS!$B$23</f>
        <v/>
      </c>
      <c r="F23" s="7" t="n">
        <v>0</v>
      </c>
      <c r="G23" s="7" t="n">
        <v>0</v>
      </c>
      <c r="H23" s="7">
        <f>SUM(B23:G23)</f>
        <v/>
      </c>
      <c r="I23" s="3" t="inlineStr">
        <is>
          <t>Planning assumptions — replace with actual commitments</t>
        </is>
      </c>
    </row>
    <row r="24">
      <c r="A24" s="3" t="n">
        <v>21</v>
      </c>
      <c r="B24" s="7">
        <f>02_MARKETPLACE_ASSUMPTIONS!$B$20</f>
        <v/>
      </c>
      <c r="C24" s="7">
        <f>02_MARKETPLACE_ASSUMPTIONS!$B$21</f>
        <v/>
      </c>
      <c r="D24" s="7">
        <f>02_MARKETPLACE_ASSUMPTIONS!$B$22</f>
        <v/>
      </c>
      <c r="E24" s="7">
        <f>02_MARKETPLACE_ASSUMPTIONS!$B$23</f>
        <v/>
      </c>
      <c r="F24" s="7" t="n">
        <v>0</v>
      </c>
      <c r="G24" s="7" t="n">
        <v>0</v>
      </c>
      <c r="H24" s="7">
        <f>SUM(B24:G24)</f>
        <v/>
      </c>
      <c r="I24" s="3" t="inlineStr">
        <is>
          <t>Planning assumptions — replace with actual commitments</t>
        </is>
      </c>
    </row>
    <row r="25">
      <c r="A25" s="3" t="n">
        <v>22</v>
      </c>
      <c r="B25" s="7">
        <f>02_MARKETPLACE_ASSUMPTIONS!$B$20</f>
        <v/>
      </c>
      <c r="C25" s="7">
        <f>02_MARKETPLACE_ASSUMPTIONS!$B$21</f>
        <v/>
      </c>
      <c r="D25" s="7">
        <f>02_MARKETPLACE_ASSUMPTIONS!$B$22</f>
        <v/>
      </c>
      <c r="E25" s="7">
        <f>02_MARKETPLACE_ASSUMPTIONS!$B$23</f>
        <v/>
      </c>
      <c r="F25" s="7" t="n">
        <v>0</v>
      </c>
      <c r="G25" s="7" t="n">
        <v>0</v>
      </c>
      <c r="H25" s="7">
        <f>SUM(B25:G25)</f>
        <v/>
      </c>
      <c r="I25" s="3" t="inlineStr">
        <is>
          <t>Planning assumptions — replace with actual commitments</t>
        </is>
      </c>
    </row>
    <row r="26">
      <c r="A26" s="3" t="n">
        <v>23</v>
      </c>
      <c r="B26" s="7">
        <f>02_MARKETPLACE_ASSUMPTIONS!$B$20</f>
        <v/>
      </c>
      <c r="C26" s="7">
        <f>02_MARKETPLACE_ASSUMPTIONS!$B$21</f>
        <v/>
      </c>
      <c r="D26" s="7">
        <f>02_MARKETPLACE_ASSUMPTIONS!$B$22</f>
        <v/>
      </c>
      <c r="E26" s="7">
        <f>02_MARKETPLACE_ASSUMPTIONS!$B$23</f>
        <v/>
      </c>
      <c r="F26" s="7" t="n">
        <v>0</v>
      </c>
      <c r="G26" s="7" t="n">
        <v>0</v>
      </c>
      <c r="H26" s="7">
        <f>SUM(B26:G26)</f>
        <v/>
      </c>
      <c r="I26" s="3" t="inlineStr">
        <is>
          <t>Planning assumptions — replace with actual commitments</t>
        </is>
      </c>
    </row>
    <row r="27">
      <c r="A27" s="3" t="n">
        <v>24</v>
      </c>
      <c r="B27" s="7">
        <f>02_MARKETPLACE_ASSUMPTIONS!$B$20</f>
        <v/>
      </c>
      <c r="C27" s="7">
        <f>02_MARKETPLACE_ASSUMPTIONS!$B$21</f>
        <v/>
      </c>
      <c r="D27" s="7">
        <f>02_MARKETPLACE_ASSUMPTIONS!$B$22</f>
        <v/>
      </c>
      <c r="E27" s="7">
        <f>02_MARKETPLACE_ASSUMPTIONS!$B$23</f>
        <v/>
      </c>
      <c r="F27" s="7" t="n">
        <v>0</v>
      </c>
      <c r="G27" s="7" t="n">
        <v>0</v>
      </c>
      <c r="H27" s="7">
        <f>SUM(B27:G27)</f>
        <v/>
      </c>
      <c r="I27" s="3" t="inlineStr">
        <is>
          <t>Planning assumptions — replace with actual commitments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20" customWidth="1" min="4" max="4"/>
    <col width="34" customWidth="1" min="5" max="5"/>
    <col width="34" customWidth="1" min="6" max="6"/>
  </cols>
  <sheetData>
    <row r="1">
      <c r="A1" s="1" t="inlineStr">
        <is>
          <t>Headcount &amp; Payroll Logic</t>
        </is>
      </c>
    </row>
    <row r="3">
      <c r="A3" s="4" t="inlineStr">
        <is>
          <t>Role</t>
        </is>
      </c>
      <c r="B3" s="4" t="inlineStr">
        <is>
          <t>Current planned monthly cost</t>
        </is>
      </c>
      <c r="C3" s="4" t="inlineStr">
        <is>
          <t>Trigger / rationale</t>
        </is>
      </c>
      <c r="D3" s="4" t="inlineStr">
        <is>
          <t>Status</t>
        </is>
      </c>
      <c r="E3" s="4" t="inlineStr">
        <is>
          <t>Year 1 notes</t>
        </is>
      </c>
      <c r="F3" s="4" t="inlineStr">
        <is>
          <t>Year 2 notes</t>
        </is>
      </c>
      <c r="G3" s="12" t="inlineStr"/>
      <c r="H3" s="12" t="inlineStr"/>
      <c r="I3" s="12" t="inlineStr"/>
    </row>
    <row r="4">
      <c r="A4" s="3" t="inlineStr">
        <is>
          <t>Office Manager</t>
        </is>
      </c>
      <c r="B4" s="3" t="n">
        <v>15000</v>
      </c>
      <c r="C4" s="3" t="inlineStr">
        <is>
          <t>Core operations</t>
        </is>
      </c>
      <c r="D4" s="3" t="inlineStr">
        <is>
          <t>Draft assumption</t>
        </is>
      </c>
      <c r="E4" s="3" t="inlineStr">
        <is>
          <t>Keep only if workload justifies</t>
        </is>
      </c>
      <c r="F4" s="3" t="inlineStr">
        <is>
          <t>Review after alpha</t>
        </is>
      </c>
    </row>
    <row r="5">
      <c r="A5" s="3" t="inlineStr">
        <is>
          <t>Accounting</t>
        </is>
      </c>
      <c r="B5" s="3" t="n">
        <v>4000</v>
      </c>
      <c r="C5" s="3" t="inlineStr">
        <is>
          <t>Transaction/admin complexity</t>
        </is>
      </c>
      <c r="D5" s="3" t="inlineStr">
        <is>
          <t>Draft assumption</t>
        </is>
      </c>
      <c r="E5" s="3" t="inlineStr">
        <is>
          <t>May be outsourced</t>
        </is>
      </c>
      <c r="F5" s="3" t="inlineStr">
        <is>
          <t>Review</t>
        </is>
      </c>
    </row>
    <row r="6">
      <c r="A6" s="3" t="inlineStr">
        <is>
          <t>Operations/Host</t>
        </is>
      </c>
      <c r="B6" s="3" t="n">
        <v>10000</v>
      </c>
      <c r="C6" s="3" t="inlineStr">
        <is>
          <t>Supply onboarding + support</t>
        </is>
      </c>
      <c r="D6" s="3" t="inlineStr">
        <is>
          <t>Draft assumption</t>
        </is>
      </c>
      <c r="E6" s="3" t="inlineStr">
        <is>
          <t>Critical when real listings acquired</t>
        </is>
      </c>
      <c r="F6" s="3" t="inlineStr">
        <is>
          <t>Scale with listings</t>
        </is>
      </c>
    </row>
    <row r="7">
      <c r="A7" s="3" t="inlineStr">
        <is>
          <t>Customer Service</t>
        </is>
      </c>
      <c r="B7" s="3" t="n">
        <v>0</v>
      </c>
      <c r="C7" s="3" t="inlineStr">
        <is>
          <t>Add when support volume warrants</t>
        </is>
      </c>
      <c r="D7" s="3" t="inlineStr">
        <is>
          <t>Deferred</t>
        </is>
      </c>
      <c r="E7" s="3" t="inlineStr">
        <is>
          <t>Not required at zero real users</t>
        </is>
      </c>
      <c r="F7" s="3" t="inlineStr">
        <is>
          <t>Trigger by demand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24-Month P&amp;L — Base Case</t>
        </is>
      </c>
    </row>
    <row r="3">
      <c r="A3" s="4" t="inlineStr">
        <is>
          <t>Month</t>
        </is>
      </c>
      <c r="B3" s="4" t="inlineStr">
        <is>
          <t>Net platform revenue</t>
        </is>
      </c>
      <c r="C3" s="4" t="inlineStr">
        <is>
          <t>Variable costs</t>
        </is>
      </c>
      <c r="D3" s="4" t="inlineStr">
        <is>
          <t>Contribution profit</t>
        </is>
      </c>
      <c r="E3" s="4" t="inlineStr">
        <is>
          <t>Fixed costs</t>
        </is>
      </c>
      <c r="F3" s="4" t="inlineStr">
        <is>
          <t>EBITDA before tax</t>
        </is>
      </c>
      <c r="G3" s="4" t="inlineStr">
        <is>
          <t>Cumulative EBITDA</t>
        </is>
      </c>
      <c r="H3" s="4" t="inlineStr">
        <is>
          <t>Comment</t>
        </is>
      </c>
    </row>
    <row r="4">
      <c r="A4" s="3" t="n">
        <v>1</v>
      </c>
      <c r="B4" s="7">
        <f>06_REVENUE_MODEL!M4</f>
        <v/>
      </c>
      <c r="C4" s="7">
        <f>07_VARIABLE_COSTS!G4</f>
        <v/>
      </c>
      <c r="D4" s="7">
        <f>B4-C4</f>
        <v/>
      </c>
      <c r="E4" s="7">
        <f>08_FIXED_COSTS!H4</f>
        <v/>
      </c>
      <c r="F4" s="7">
        <f>D4-E4</f>
        <v/>
      </c>
      <c r="G4" s="7">
        <f>SUM($F$4:F4)</f>
        <v/>
      </c>
      <c r="H4" s="3">
        <f>IF(F4&gt;0,"Positive","Burn")</f>
        <v/>
      </c>
    </row>
    <row r="5">
      <c r="A5" s="3" t="n">
        <v>2</v>
      </c>
      <c r="B5" s="7">
        <f>06_REVENUE_MODEL!M5</f>
        <v/>
      </c>
      <c r="C5" s="7">
        <f>07_VARIABLE_COSTS!G5</f>
        <v/>
      </c>
      <c r="D5" s="7">
        <f>B5-C5</f>
        <v/>
      </c>
      <c r="E5" s="7">
        <f>08_FIXED_COSTS!H5</f>
        <v/>
      </c>
      <c r="F5" s="7">
        <f>D5-E5</f>
        <v/>
      </c>
      <c r="G5" s="7">
        <f>SUM($F$4:F5)</f>
        <v/>
      </c>
      <c r="H5" s="3">
        <f>IF(F5&gt;0,"Positive","Burn")</f>
        <v/>
      </c>
    </row>
    <row r="6">
      <c r="A6" s="3" t="n">
        <v>3</v>
      </c>
      <c r="B6" s="7">
        <f>06_REVENUE_MODEL!M6</f>
        <v/>
      </c>
      <c r="C6" s="7">
        <f>07_VARIABLE_COSTS!G6</f>
        <v/>
      </c>
      <c r="D6" s="7">
        <f>B6-C6</f>
        <v/>
      </c>
      <c r="E6" s="7">
        <f>08_FIXED_COSTS!H6</f>
        <v/>
      </c>
      <c r="F6" s="7">
        <f>D6-E6</f>
        <v/>
      </c>
      <c r="G6" s="7">
        <f>SUM($F$4:F6)</f>
        <v/>
      </c>
      <c r="H6" s="3">
        <f>IF(F6&gt;0,"Positive","Burn")</f>
        <v/>
      </c>
    </row>
    <row r="7">
      <c r="A7" s="3" t="n">
        <v>4</v>
      </c>
      <c r="B7" s="7">
        <f>06_REVENUE_MODEL!M7</f>
        <v/>
      </c>
      <c r="C7" s="7">
        <f>07_VARIABLE_COSTS!G7</f>
        <v/>
      </c>
      <c r="D7" s="7">
        <f>B7-C7</f>
        <v/>
      </c>
      <c r="E7" s="7">
        <f>08_FIXED_COSTS!H7</f>
        <v/>
      </c>
      <c r="F7" s="7">
        <f>D7-E7</f>
        <v/>
      </c>
      <c r="G7" s="7">
        <f>SUM($F$4:F7)</f>
        <v/>
      </c>
      <c r="H7" s="3">
        <f>IF(F7&gt;0,"Positive","Burn")</f>
        <v/>
      </c>
    </row>
    <row r="8">
      <c r="A8" s="3" t="n">
        <v>5</v>
      </c>
      <c r="B8" s="7">
        <f>06_REVENUE_MODEL!M8</f>
        <v/>
      </c>
      <c r="C8" s="7">
        <f>07_VARIABLE_COSTS!G8</f>
        <v/>
      </c>
      <c r="D8" s="7">
        <f>B8-C8</f>
        <v/>
      </c>
      <c r="E8" s="7">
        <f>08_FIXED_COSTS!H8</f>
        <v/>
      </c>
      <c r="F8" s="7">
        <f>D8-E8</f>
        <v/>
      </c>
      <c r="G8" s="7">
        <f>SUM($F$4:F8)</f>
        <v/>
      </c>
      <c r="H8" s="3">
        <f>IF(F8&gt;0,"Positive","Burn")</f>
        <v/>
      </c>
    </row>
    <row r="9">
      <c r="A9" s="3" t="n">
        <v>6</v>
      </c>
      <c r="B9" s="7">
        <f>06_REVENUE_MODEL!M9</f>
        <v/>
      </c>
      <c r="C9" s="7">
        <f>07_VARIABLE_COSTS!G9</f>
        <v/>
      </c>
      <c r="D9" s="7">
        <f>B9-C9</f>
        <v/>
      </c>
      <c r="E9" s="7">
        <f>08_FIXED_COSTS!H9</f>
        <v/>
      </c>
      <c r="F9" s="7">
        <f>D9-E9</f>
        <v/>
      </c>
      <c r="G9" s="7">
        <f>SUM($F$4:F9)</f>
        <v/>
      </c>
      <c r="H9" s="3">
        <f>IF(F9&gt;0,"Positive","Burn")</f>
        <v/>
      </c>
    </row>
    <row r="10">
      <c r="A10" s="3" t="n">
        <v>7</v>
      </c>
      <c r="B10" s="7">
        <f>06_REVENUE_MODEL!M10</f>
        <v/>
      </c>
      <c r="C10" s="7">
        <f>07_VARIABLE_COSTS!G10</f>
        <v/>
      </c>
      <c r="D10" s="7">
        <f>B10-C10</f>
        <v/>
      </c>
      <c r="E10" s="7">
        <f>08_FIXED_COSTS!H10</f>
        <v/>
      </c>
      <c r="F10" s="7">
        <f>D10-E10</f>
        <v/>
      </c>
      <c r="G10" s="7">
        <f>SUM($F$4:F10)</f>
        <v/>
      </c>
      <c r="H10" s="3">
        <f>IF(F10&gt;0,"Positive","Burn")</f>
        <v/>
      </c>
    </row>
    <row r="11">
      <c r="A11" s="3" t="n">
        <v>8</v>
      </c>
      <c r="B11" s="7">
        <f>06_REVENUE_MODEL!M11</f>
        <v/>
      </c>
      <c r="C11" s="7">
        <f>07_VARIABLE_COSTS!G11</f>
        <v/>
      </c>
      <c r="D11" s="7">
        <f>B11-C11</f>
        <v/>
      </c>
      <c r="E11" s="7">
        <f>08_FIXED_COSTS!H11</f>
        <v/>
      </c>
      <c r="F11" s="7">
        <f>D11-E11</f>
        <v/>
      </c>
      <c r="G11" s="7">
        <f>SUM($F$4:F11)</f>
        <v/>
      </c>
      <c r="H11" s="3">
        <f>IF(F11&gt;0,"Positive","Burn")</f>
        <v/>
      </c>
    </row>
    <row r="12">
      <c r="A12" s="3" t="n">
        <v>9</v>
      </c>
      <c r="B12" s="7">
        <f>06_REVENUE_MODEL!M12</f>
        <v/>
      </c>
      <c r="C12" s="7">
        <f>07_VARIABLE_COSTS!G12</f>
        <v/>
      </c>
      <c r="D12" s="7">
        <f>B12-C12</f>
        <v/>
      </c>
      <c r="E12" s="7">
        <f>08_FIXED_COSTS!H12</f>
        <v/>
      </c>
      <c r="F12" s="7">
        <f>D12-E12</f>
        <v/>
      </c>
      <c r="G12" s="7">
        <f>SUM($F$4:F12)</f>
        <v/>
      </c>
      <c r="H12" s="3">
        <f>IF(F12&gt;0,"Positive","Burn")</f>
        <v/>
      </c>
    </row>
    <row r="13">
      <c r="A13" s="3" t="n">
        <v>10</v>
      </c>
      <c r="B13" s="7">
        <f>06_REVENUE_MODEL!M13</f>
        <v/>
      </c>
      <c r="C13" s="7">
        <f>07_VARIABLE_COSTS!G13</f>
        <v/>
      </c>
      <c r="D13" s="7">
        <f>B13-C13</f>
        <v/>
      </c>
      <c r="E13" s="7">
        <f>08_FIXED_COSTS!H13</f>
        <v/>
      </c>
      <c r="F13" s="7">
        <f>D13-E13</f>
        <v/>
      </c>
      <c r="G13" s="7">
        <f>SUM($F$4:F13)</f>
        <v/>
      </c>
      <c r="H13" s="3">
        <f>IF(F13&gt;0,"Positive","Burn")</f>
        <v/>
      </c>
    </row>
    <row r="14">
      <c r="A14" s="3" t="n">
        <v>11</v>
      </c>
      <c r="B14" s="7">
        <f>06_REVENUE_MODEL!M14</f>
        <v/>
      </c>
      <c r="C14" s="7">
        <f>07_VARIABLE_COSTS!G14</f>
        <v/>
      </c>
      <c r="D14" s="7">
        <f>B14-C14</f>
        <v/>
      </c>
      <c r="E14" s="7">
        <f>08_FIXED_COSTS!H14</f>
        <v/>
      </c>
      <c r="F14" s="7">
        <f>D14-E14</f>
        <v/>
      </c>
      <c r="G14" s="7">
        <f>SUM($F$4:F14)</f>
        <v/>
      </c>
      <c r="H14" s="3">
        <f>IF(F14&gt;0,"Positive","Burn")</f>
        <v/>
      </c>
    </row>
    <row r="15">
      <c r="A15" s="3" t="n">
        <v>12</v>
      </c>
      <c r="B15" s="7">
        <f>06_REVENUE_MODEL!M15</f>
        <v/>
      </c>
      <c r="C15" s="7">
        <f>07_VARIABLE_COSTS!G15</f>
        <v/>
      </c>
      <c r="D15" s="7">
        <f>B15-C15</f>
        <v/>
      </c>
      <c r="E15" s="7">
        <f>08_FIXED_COSTS!H15</f>
        <v/>
      </c>
      <c r="F15" s="7">
        <f>D15-E15</f>
        <v/>
      </c>
      <c r="G15" s="7">
        <f>SUM($F$4:F15)</f>
        <v/>
      </c>
      <c r="H15" s="3">
        <f>IF(F15&gt;0,"Positive","Burn")</f>
        <v/>
      </c>
    </row>
    <row r="16">
      <c r="A16" s="3" t="n">
        <v>13</v>
      </c>
      <c r="B16" s="7">
        <f>06_REVENUE_MODEL!M16</f>
        <v/>
      </c>
      <c r="C16" s="7">
        <f>07_VARIABLE_COSTS!G16</f>
        <v/>
      </c>
      <c r="D16" s="7">
        <f>B16-C16</f>
        <v/>
      </c>
      <c r="E16" s="7">
        <f>08_FIXED_COSTS!H16</f>
        <v/>
      </c>
      <c r="F16" s="7">
        <f>D16-E16</f>
        <v/>
      </c>
      <c r="G16" s="7">
        <f>SUM($F$4:F16)</f>
        <v/>
      </c>
      <c r="H16" s="3">
        <f>IF(F16&gt;0,"Positive","Burn")</f>
        <v/>
      </c>
    </row>
    <row r="17">
      <c r="A17" s="3" t="n">
        <v>14</v>
      </c>
      <c r="B17" s="7">
        <f>06_REVENUE_MODEL!M17</f>
        <v/>
      </c>
      <c r="C17" s="7">
        <f>07_VARIABLE_COSTS!G17</f>
        <v/>
      </c>
      <c r="D17" s="7">
        <f>B17-C17</f>
        <v/>
      </c>
      <c r="E17" s="7">
        <f>08_FIXED_COSTS!H17</f>
        <v/>
      </c>
      <c r="F17" s="7">
        <f>D17-E17</f>
        <v/>
      </c>
      <c r="G17" s="7">
        <f>SUM($F$4:F17)</f>
        <v/>
      </c>
      <c r="H17" s="3">
        <f>IF(F17&gt;0,"Positive","Burn")</f>
        <v/>
      </c>
    </row>
    <row r="18">
      <c r="A18" s="3" t="n">
        <v>15</v>
      </c>
      <c r="B18" s="7">
        <f>06_REVENUE_MODEL!M18</f>
        <v/>
      </c>
      <c r="C18" s="7">
        <f>07_VARIABLE_COSTS!G18</f>
        <v/>
      </c>
      <c r="D18" s="7">
        <f>B18-C18</f>
        <v/>
      </c>
      <c r="E18" s="7">
        <f>08_FIXED_COSTS!H18</f>
        <v/>
      </c>
      <c r="F18" s="7">
        <f>D18-E18</f>
        <v/>
      </c>
      <c r="G18" s="7">
        <f>SUM($F$4:F18)</f>
        <v/>
      </c>
      <c r="H18" s="3">
        <f>IF(F18&gt;0,"Positive","Burn")</f>
        <v/>
      </c>
    </row>
    <row r="19">
      <c r="A19" s="3" t="n">
        <v>16</v>
      </c>
      <c r="B19" s="7">
        <f>06_REVENUE_MODEL!M19</f>
        <v/>
      </c>
      <c r="C19" s="7">
        <f>07_VARIABLE_COSTS!G19</f>
        <v/>
      </c>
      <c r="D19" s="7">
        <f>B19-C19</f>
        <v/>
      </c>
      <c r="E19" s="7">
        <f>08_FIXED_COSTS!H19</f>
        <v/>
      </c>
      <c r="F19" s="7">
        <f>D19-E19</f>
        <v/>
      </c>
      <c r="G19" s="7">
        <f>SUM($F$4:F19)</f>
        <v/>
      </c>
      <c r="H19" s="3">
        <f>IF(F19&gt;0,"Positive","Burn")</f>
        <v/>
      </c>
    </row>
    <row r="20">
      <c r="A20" s="3" t="n">
        <v>17</v>
      </c>
      <c r="B20" s="7">
        <f>06_REVENUE_MODEL!M20</f>
        <v/>
      </c>
      <c r="C20" s="7">
        <f>07_VARIABLE_COSTS!G20</f>
        <v/>
      </c>
      <c r="D20" s="7">
        <f>B20-C20</f>
        <v/>
      </c>
      <c r="E20" s="7">
        <f>08_FIXED_COSTS!H20</f>
        <v/>
      </c>
      <c r="F20" s="7">
        <f>D20-E20</f>
        <v/>
      </c>
      <c r="G20" s="7">
        <f>SUM($F$4:F20)</f>
        <v/>
      </c>
      <c r="H20" s="3">
        <f>IF(F20&gt;0,"Positive","Burn")</f>
        <v/>
      </c>
    </row>
    <row r="21">
      <c r="A21" s="3" t="n">
        <v>18</v>
      </c>
      <c r="B21" s="7">
        <f>06_REVENUE_MODEL!M21</f>
        <v/>
      </c>
      <c r="C21" s="7">
        <f>07_VARIABLE_COSTS!G21</f>
        <v/>
      </c>
      <c r="D21" s="7">
        <f>B21-C21</f>
        <v/>
      </c>
      <c r="E21" s="7">
        <f>08_FIXED_COSTS!H21</f>
        <v/>
      </c>
      <c r="F21" s="7">
        <f>D21-E21</f>
        <v/>
      </c>
      <c r="G21" s="7">
        <f>SUM($F$4:F21)</f>
        <v/>
      </c>
      <c r="H21" s="3">
        <f>IF(F21&gt;0,"Positive","Burn")</f>
        <v/>
      </c>
    </row>
    <row r="22">
      <c r="A22" s="3" t="n">
        <v>19</v>
      </c>
      <c r="B22" s="7">
        <f>06_REVENUE_MODEL!M22</f>
        <v/>
      </c>
      <c r="C22" s="7">
        <f>07_VARIABLE_COSTS!G22</f>
        <v/>
      </c>
      <c r="D22" s="7">
        <f>B22-C22</f>
        <v/>
      </c>
      <c r="E22" s="7">
        <f>08_FIXED_COSTS!H22</f>
        <v/>
      </c>
      <c r="F22" s="7">
        <f>D22-E22</f>
        <v/>
      </c>
      <c r="G22" s="7">
        <f>SUM($F$4:F22)</f>
        <v/>
      </c>
      <c r="H22" s="3">
        <f>IF(F22&gt;0,"Positive","Burn")</f>
        <v/>
      </c>
    </row>
    <row r="23">
      <c r="A23" s="3" t="n">
        <v>20</v>
      </c>
      <c r="B23" s="7">
        <f>06_REVENUE_MODEL!M23</f>
        <v/>
      </c>
      <c r="C23" s="7">
        <f>07_VARIABLE_COSTS!G23</f>
        <v/>
      </c>
      <c r="D23" s="7">
        <f>B23-C23</f>
        <v/>
      </c>
      <c r="E23" s="7">
        <f>08_FIXED_COSTS!H23</f>
        <v/>
      </c>
      <c r="F23" s="7">
        <f>D23-E23</f>
        <v/>
      </c>
      <c r="G23" s="7">
        <f>SUM($F$4:F23)</f>
        <v/>
      </c>
      <c r="H23" s="3">
        <f>IF(F23&gt;0,"Positive","Burn")</f>
        <v/>
      </c>
    </row>
    <row r="24">
      <c r="A24" s="3" t="n">
        <v>21</v>
      </c>
      <c r="B24" s="7">
        <f>06_REVENUE_MODEL!M24</f>
        <v/>
      </c>
      <c r="C24" s="7">
        <f>07_VARIABLE_COSTS!G24</f>
        <v/>
      </c>
      <c r="D24" s="7">
        <f>B24-C24</f>
        <v/>
      </c>
      <c r="E24" s="7">
        <f>08_FIXED_COSTS!H24</f>
        <v/>
      </c>
      <c r="F24" s="7">
        <f>D24-E24</f>
        <v/>
      </c>
      <c r="G24" s="7">
        <f>SUM($F$4:F24)</f>
        <v/>
      </c>
      <c r="H24" s="3">
        <f>IF(F24&gt;0,"Positive","Burn")</f>
        <v/>
      </c>
    </row>
    <row r="25">
      <c r="A25" s="3" t="n">
        <v>22</v>
      </c>
      <c r="B25" s="7">
        <f>06_REVENUE_MODEL!M25</f>
        <v/>
      </c>
      <c r="C25" s="7">
        <f>07_VARIABLE_COSTS!G25</f>
        <v/>
      </c>
      <c r="D25" s="7">
        <f>B25-C25</f>
        <v/>
      </c>
      <c r="E25" s="7">
        <f>08_FIXED_COSTS!H25</f>
        <v/>
      </c>
      <c r="F25" s="7">
        <f>D25-E25</f>
        <v/>
      </c>
      <c r="G25" s="7">
        <f>SUM($F$4:F25)</f>
        <v/>
      </c>
      <c r="H25" s="3">
        <f>IF(F25&gt;0,"Positive","Burn")</f>
        <v/>
      </c>
    </row>
    <row r="26">
      <c r="A26" s="3" t="n">
        <v>23</v>
      </c>
      <c r="B26" s="7">
        <f>06_REVENUE_MODEL!M26</f>
        <v/>
      </c>
      <c r="C26" s="7">
        <f>07_VARIABLE_COSTS!G26</f>
        <v/>
      </c>
      <c r="D26" s="7">
        <f>B26-C26</f>
        <v/>
      </c>
      <c r="E26" s="7">
        <f>08_FIXED_COSTS!H26</f>
        <v/>
      </c>
      <c r="F26" s="7">
        <f>D26-E26</f>
        <v/>
      </c>
      <c r="G26" s="7">
        <f>SUM($F$4:F26)</f>
        <v/>
      </c>
      <c r="H26" s="3">
        <f>IF(F26&gt;0,"Positive","Burn")</f>
        <v/>
      </c>
    </row>
    <row r="27">
      <c r="A27" s="3" t="n">
        <v>24</v>
      </c>
      <c r="B27" s="7">
        <f>06_REVENUE_MODEL!M27</f>
        <v/>
      </c>
      <c r="C27" s="7">
        <f>07_VARIABLE_COSTS!G27</f>
        <v/>
      </c>
      <c r="D27" s="7">
        <f>B27-C27</f>
        <v/>
      </c>
      <c r="E27" s="7">
        <f>08_FIXED_COSTS!H27</f>
        <v/>
      </c>
      <c r="F27" s="7">
        <f>D27-E27</f>
        <v/>
      </c>
      <c r="G27" s="7">
        <f>SUM($F$4:F27)</f>
        <v/>
      </c>
      <c r="H27" s="3">
        <f>IF(F27&gt;0,"Positive","Burn")</f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6" customWidth="1" min="7" max="7"/>
    <col width="20" customWidth="1" min="8" max="8"/>
  </cols>
  <sheetData>
    <row r="1">
      <c r="A1" s="1" t="inlineStr">
        <is>
          <t>Cash Flow &amp; Runway</t>
        </is>
      </c>
    </row>
    <row r="3">
      <c r="A3" s="4" t="inlineStr">
        <is>
          <t>Month</t>
        </is>
      </c>
      <c r="B3" s="4" t="inlineStr">
        <is>
          <t>Opening cash</t>
        </is>
      </c>
      <c r="C3" s="4" t="inlineStr">
        <is>
          <t>Operating cash flow</t>
        </is>
      </c>
      <c r="D3" s="4" t="inlineStr">
        <is>
          <t>Capex / setup</t>
        </is>
      </c>
      <c r="E3" s="4" t="inlineStr">
        <is>
          <t>Net cash flow</t>
        </is>
      </c>
      <c r="F3" s="4" t="inlineStr">
        <is>
          <t>Closing cash</t>
        </is>
      </c>
      <c r="G3" s="4" t="inlineStr">
        <is>
          <t>Cash burn</t>
        </is>
      </c>
      <c r="H3" s="4" t="inlineStr">
        <is>
          <t>Runway status</t>
        </is>
      </c>
    </row>
    <row r="4">
      <c r="A4" s="3" t="n">
        <v>1</v>
      </c>
      <c r="B4" s="7" t="n">
        <v>0</v>
      </c>
      <c r="C4" s="7">
        <f>10_P&amp;L!F4</f>
        <v/>
      </c>
      <c r="D4" s="7" t="n">
        <v>40000</v>
      </c>
      <c r="E4" s="7">
        <f>C4-D4</f>
        <v/>
      </c>
      <c r="F4" s="7">
        <f>B4+E4</f>
        <v/>
      </c>
      <c r="G4" s="7">
        <f>MAX(0,-E4)</f>
        <v/>
      </c>
      <c r="H4" s="3">
        <f>IF(F4&lt;=0,"Funding required","Positive")</f>
        <v/>
      </c>
    </row>
    <row r="5">
      <c r="A5" s="3" t="n">
        <v>2</v>
      </c>
      <c r="B5" s="7">
        <f>F4</f>
        <v/>
      </c>
      <c r="C5" s="7">
        <f>10_P&amp;L!F5</f>
        <v/>
      </c>
      <c r="D5" s="7" t="n">
        <v>0</v>
      </c>
      <c r="E5" s="7">
        <f>C5-D5</f>
        <v/>
      </c>
      <c r="F5" s="7">
        <f>B5+E5</f>
        <v/>
      </c>
      <c r="G5" s="7">
        <f>MAX(0,-E5)</f>
        <v/>
      </c>
      <c r="H5" s="3">
        <f>IF(F5&lt;=0,"Funding required","Positive")</f>
        <v/>
      </c>
    </row>
    <row r="6">
      <c r="A6" s="3" t="n">
        <v>3</v>
      </c>
      <c r="B6" s="7">
        <f>F5</f>
        <v/>
      </c>
      <c r="C6" s="7">
        <f>10_P&amp;L!F6</f>
        <v/>
      </c>
      <c r="D6" s="7" t="n">
        <v>0</v>
      </c>
      <c r="E6" s="7">
        <f>C6-D6</f>
        <v/>
      </c>
      <c r="F6" s="7">
        <f>B6+E6</f>
        <v/>
      </c>
      <c r="G6" s="7">
        <f>MAX(0,-E6)</f>
        <v/>
      </c>
      <c r="H6" s="3">
        <f>IF(F6&lt;=0,"Funding required","Positive")</f>
        <v/>
      </c>
    </row>
    <row r="7">
      <c r="A7" s="3" t="n">
        <v>4</v>
      </c>
      <c r="B7" s="7">
        <f>F6</f>
        <v/>
      </c>
      <c r="C7" s="7">
        <f>10_P&amp;L!F7</f>
        <v/>
      </c>
      <c r="D7" s="7" t="n">
        <v>0</v>
      </c>
      <c r="E7" s="7">
        <f>C7-D7</f>
        <v/>
      </c>
      <c r="F7" s="7">
        <f>B7+E7</f>
        <v/>
      </c>
      <c r="G7" s="7">
        <f>MAX(0,-E7)</f>
        <v/>
      </c>
      <c r="H7" s="3">
        <f>IF(F7&lt;=0,"Funding required","Positive")</f>
        <v/>
      </c>
    </row>
    <row r="8">
      <c r="A8" s="3" t="n">
        <v>5</v>
      </c>
      <c r="B8" s="7">
        <f>F7</f>
        <v/>
      </c>
      <c r="C8" s="7">
        <f>10_P&amp;L!F8</f>
        <v/>
      </c>
      <c r="D8" s="7" t="n">
        <v>0</v>
      </c>
      <c r="E8" s="7">
        <f>C8-D8</f>
        <v/>
      </c>
      <c r="F8" s="7">
        <f>B8+E8</f>
        <v/>
      </c>
      <c r="G8" s="7">
        <f>MAX(0,-E8)</f>
        <v/>
      </c>
      <c r="H8" s="3">
        <f>IF(F8&lt;=0,"Funding required","Positive")</f>
        <v/>
      </c>
    </row>
    <row r="9">
      <c r="A9" s="3" t="n">
        <v>6</v>
      </c>
      <c r="B9" s="7">
        <f>F8</f>
        <v/>
      </c>
      <c r="C9" s="7">
        <f>10_P&amp;L!F9</f>
        <v/>
      </c>
      <c r="D9" s="7" t="n">
        <v>0</v>
      </c>
      <c r="E9" s="7">
        <f>C9-D9</f>
        <v/>
      </c>
      <c r="F9" s="7">
        <f>B9+E9</f>
        <v/>
      </c>
      <c r="G9" s="7">
        <f>MAX(0,-E9)</f>
        <v/>
      </c>
      <c r="H9" s="3">
        <f>IF(F9&lt;=0,"Funding required","Positive")</f>
        <v/>
      </c>
    </row>
    <row r="10">
      <c r="A10" s="3" t="n">
        <v>7</v>
      </c>
      <c r="B10" s="7">
        <f>F9</f>
        <v/>
      </c>
      <c r="C10" s="7">
        <f>10_P&amp;L!F10</f>
        <v/>
      </c>
      <c r="D10" s="7" t="n">
        <v>0</v>
      </c>
      <c r="E10" s="7">
        <f>C10-D10</f>
        <v/>
      </c>
      <c r="F10" s="7">
        <f>B10+E10</f>
        <v/>
      </c>
      <c r="G10" s="7">
        <f>MAX(0,-E10)</f>
        <v/>
      </c>
      <c r="H10" s="3">
        <f>IF(F10&lt;=0,"Funding required","Positive")</f>
        <v/>
      </c>
    </row>
    <row r="11">
      <c r="A11" s="3" t="n">
        <v>8</v>
      </c>
      <c r="B11" s="7">
        <f>F10</f>
        <v/>
      </c>
      <c r="C11" s="7">
        <f>10_P&amp;L!F11</f>
        <v/>
      </c>
      <c r="D11" s="7" t="n">
        <v>0</v>
      </c>
      <c r="E11" s="7">
        <f>C11-D11</f>
        <v/>
      </c>
      <c r="F11" s="7">
        <f>B11+E11</f>
        <v/>
      </c>
      <c r="G11" s="7">
        <f>MAX(0,-E11)</f>
        <v/>
      </c>
      <c r="H11" s="3">
        <f>IF(F11&lt;=0,"Funding required","Positive")</f>
        <v/>
      </c>
    </row>
    <row r="12">
      <c r="A12" s="3" t="n">
        <v>9</v>
      </c>
      <c r="B12" s="7">
        <f>F11</f>
        <v/>
      </c>
      <c r="C12" s="7">
        <f>10_P&amp;L!F12</f>
        <v/>
      </c>
      <c r="D12" s="7" t="n">
        <v>0</v>
      </c>
      <c r="E12" s="7">
        <f>C12-D12</f>
        <v/>
      </c>
      <c r="F12" s="7">
        <f>B12+E12</f>
        <v/>
      </c>
      <c r="G12" s="7">
        <f>MAX(0,-E12)</f>
        <v/>
      </c>
      <c r="H12" s="3">
        <f>IF(F12&lt;=0,"Funding required","Positive")</f>
        <v/>
      </c>
    </row>
    <row r="13">
      <c r="A13" s="3" t="n">
        <v>10</v>
      </c>
      <c r="B13" s="7">
        <f>F12</f>
        <v/>
      </c>
      <c r="C13" s="7">
        <f>10_P&amp;L!F13</f>
        <v/>
      </c>
      <c r="D13" s="7" t="n">
        <v>0</v>
      </c>
      <c r="E13" s="7">
        <f>C13-D13</f>
        <v/>
      </c>
      <c r="F13" s="7">
        <f>B13+E13</f>
        <v/>
      </c>
      <c r="G13" s="7">
        <f>MAX(0,-E13)</f>
        <v/>
      </c>
      <c r="H13" s="3">
        <f>IF(F13&lt;=0,"Funding required","Positive")</f>
        <v/>
      </c>
    </row>
    <row r="14">
      <c r="A14" s="3" t="n">
        <v>11</v>
      </c>
      <c r="B14" s="7">
        <f>F13</f>
        <v/>
      </c>
      <c r="C14" s="7">
        <f>10_P&amp;L!F14</f>
        <v/>
      </c>
      <c r="D14" s="7" t="n">
        <v>0</v>
      </c>
      <c r="E14" s="7">
        <f>C14-D14</f>
        <v/>
      </c>
      <c r="F14" s="7">
        <f>B14+E14</f>
        <v/>
      </c>
      <c r="G14" s="7">
        <f>MAX(0,-E14)</f>
        <v/>
      </c>
      <c r="H14" s="3">
        <f>IF(F14&lt;=0,"Funding required","Positive")</f>
        <v/>
      </c>
    </row>
    <row r="15">
      <c r="A15" s="3" t="n">
        <v>12</v>
      </c>
      <c r="B15" s="7">
        <f>F14</f>
        <v/>
      </c>
      <c r="C15" s="7">
        <f>10_P&amp;L!F15</f>
        <v/>
      </c>
      <c r="D15" s="7" t="n">
        <v>0</v>
      </c>
      <c r="E15" s="7">
        <f>C15-D15</f>
        <v/>
      </c>
      <c r="F15" s="7">
        <f>B15+E15</f>
        <v/>
      </c>
      <c r="G15" s="7">
        <f>MAX(0,-E15)</f>
        <v/>
      </c>
      <c r="H15" s="3">
        <f>IF(F15&lt;=0,"Funding required","Positive")</f>
        <v/>
      </c>
    </row>
    <row r="16">
      <c r="A16" s="3" t="n">
        <v>13</v>
      </c>
      <c r="B16" s="7">
        <f>F15</f>
        <v/>
      </c>
      <c r="C16" s="7">
        <f>10_P&amp;L!F16</f>
        <v/>
      </c>
      <c r="D16" s="7" t="n">
        <v>0</v>
      </c>
      <c r="E16" s="7">
        <f>C16-D16</f>
        <v/>
      </c>
      <c r="F16" s="7">
        <f>B16+E16</f>
        <v/>
      </c>
      <c r="G16" s="7">
        <f>MAX(0,-E16)</f>
        <v/>
      </c>
      <c r="H16" s="3">
        <f>IF(F16&lt;=0,"Funding required","Positive")</f>
        <v/>
      </c>
    </row>
    <row r="17">
      <c r="A17" s="3" t="n">
        <v>14</v>
      </c>
      <c r="B17" s="7">
        <f>F16</f>
        <v/>
      </c>
      <c r="C17" s="7">
        <f>10_P&amp;L!F17</f>
        <v/>
      </c>
      <c r="D17" s="7" t="n">
        <v>0</v>
      </c>
      <c r="E17" s="7">
        <f>C17-D17</f>
        <v/>
      </c>
      <c r="F17" s="7">
        <f>B17+E17</f>
        <v/>
      </c>
      <c r="G17" s="7">
        <f>MAX(0,-E17)</f>
        <v/>
      </c>
      <c r="H17" s="3">
        <f>IF(F17&lt;=0,"Funding required","Positive")</f>
        <v/>
      </c>
    </row>
    <row r="18">
      <c r="A18" s="3" t="n">
        <v>15</v>
      </c>
      <c r="B18" s="7">
        <f>F17</f>
        <v/>
      </c>
      <c r="C18" s="7">
        <f>10_P&amp;L!F18</f>
        <v/>
      </c>
      <c r="D18" s="7" t="n">
        <v>0</v>
      </c>
      <c r="E18" s="7">
        <f>C18-D18</f>
        <v/>
      </c>
      <c r="F18" s="7">
        <f>B18+E18</f>
        <v/>
      </c>
      <c r="G18" s="7">
        <f>MAX(0,-E18)</f>
        <v/>
      </c>
      <c r="H18" s="3">
        <f>IF(F18&lt;=0,"Funding required","Positive")</f>
        <v/>
      </c>
    </row>
    <row r="19">
      <c r="A19" s="3" t="n">
        <v>16</v>
      </c>
      <c r="B19" s="7">
        <f>F18</f>
        <v/>
      </c>
      <c r="C19" s="7">
        <f>10_P&amp;L!F19</f>
        <v/>
      </c>
      <c r="D19" s="7" t="n">
        <v>0</v>
      </c>
      <c r="E19" s="7">
        <f>C19-D19</f>
        <v/>
      </c>
      <c r="F19" s="7">
        <f>B19+E19</f>
        <v/>
      </c>
      <c r="G19" s="7">
        <f>MAX(0,-E19)</f>
        <v/>
      </c>
      <c r="H19" s="3">
        <f>IF(F19&lt;=0,"Funding required","Positive")</f>
        <v/>
      </c>
    </row>
    <row r="20">
      <c r="A20" s="3" t="n">
        <v>17</v>
      </c>
      <c r="B20" s="7">
        <f>F19</f>
        <v/>
      </c>
      <c r="C20" s="7">
        <f>10_P&amp;L!F20</f>
        <v/>
      </c>
      <c r="D20" s="7" t="n">
        <v>0</v>
      </c>
      <c r="E20" s="7">
        <f>C20-D20</f>
        <v/>
      </c>
      <c r="F20" s="7">
        <f>B20+E20</f>
        <v/>
      </c>
      <c r="G20" s="7">
        <f>MAX(0,-E20)</f>
        <v/>
      </c>
      <c r="H20" s="3">
        <f>IF(F20&lt;=0,"Funding required","Positive")</f>
        <v/>
      </c>
    </row>
    <row r="21">
      <c r="A21" s="3" t="n">
        <v>18</v>
      </c>
      <c r="B21" s="7">
        <f>F20</f>
        <v/>
      </c>
      <c r="C21" s="7">
        <f>10_P&amp;L!F21</f>
        <v/>
      </c>
      <c r="D21" s="7" t="n">
        <v>0</v>
      </c>
      <c r="E21" s="7">
        <f>C21-D21</f>
        <v/>
      </c>
      <c r="F21" s="7">
        <f>B21+E21</f>
        <v/>
      </c>
      <c r="G21" s="7">
        <f>MAX(0,-E21)</f>
        <v/>
      </c>
      <c r="H21" s="3">
        <f>IF(F21&lt;=0,"Funding required","Positive")</f>
        <v/>
      </c>
    </row>
    <row r="22">
      <c r="A22" s="3" t="n">
        <v>19</v>
      </c>
      <c r="B22" s="7">
        <f>F21</f>
        <v/>
      </c>
      <c r="C22" s="7">
        <f>10_P&amp;L!F22</f>
        <v/>
      </c>
      <c r="D22" s="7" t="n">
        <v>0</v>
      </c>
      <c r="E22" s="7">
        <f>C22-D22</f>
        <v/>
      </c>
      <c r="F22" s="7">
        <f>B22+E22</f>
        <v/>
      </c>
      <c r="G22" s="7">
        <f>MAX(0,-E22)</f>
        <v/>
      </c>
      <c r="H22" s="3">
        <f>IF(F22&lt;=0,"Funding required","Positive")</f>
        <v/>
      </c>
    </row>
    <row r="23">
      <c r="A23" s="3" t="n">
        <v>20</v>
      </c>
      <c r="B23" s="7">
        <f>F22</f>
        <v/>
      </c>
      <c r="C23" s="7">
        <f>10_P&amp;L!F23</f>
        <v/>
      </c>
      <c r="D23" s="7" t="n">
        <v>0</v>
      </c>
      <c r="E23" s="7">
        <f>C23-D23</f>
        <v/>
      </c>
      <c r="F23" s="7">
        <f>B23+E23</f>
        <v/>
      </c>
      <c r="G23" s="7">
        <f>MAX(0,-E23)</f>
        <v/>
      </c>
      <c r="H23" s="3">
        <f>IF(F23&lt;=0,"Funding required","Positive")</f>
        <v/>
      </c>
    </row>
    <row r="24">
      <c r="A24" s="3" t="n">
        <v>21</v>
      </c>
      <c r="B24" s="7">
        <f>F23</f>
        <v/>
      </c>
      <c r="C24" s="7">
        <f>10_P&amp;L!F24</f>
        <v/>
      </c>
      <c r="D24" s="7" t="n">
        <v>0</v>
      </c>
      <c r="E24" s="7">
        <f>C24-D24</f>
        <v/>
      </c>
      <c r="F24" s="7">
        <f>B24+E24</f>
        <v/>
      </c>
      <c r="G24" s="7">
        <f>MAX(0,-E24)</f>
        <v/>
      </c>
      <c r="H24" s="3">
        <f>IF(F24&lt;=0,"Funding required","Positive")</f>
        <v/>
      </c>
    </row>
    <row r="25">
      <c r="A25" s="3" t="n">
        <v>22</v>
      </c>
      <c r="B25" s="7">
        <f>F24</f>
        <v/>
      </c>
      <c r="C25" s="7">
        <f>10_P&amp;L!F25</f>
        <v/>
      </c>
      <c r="D25" s="7" t="n">
        <v>0</v>
      </c>
      <c r="E25" s="7">
        <f>C25-D25</f>
        <v/>
      </c>
      <c r="F25" s="7">
        <f>B25+E25</f>
        <v/>
      </c>
      <c r="G25" s="7">
        <f>MAX(0,-E25)</f>
        <v/>
      </c>
      <c r="H25" s="3">
        <f>IF(F25&lt;=0,"Funding required","Positive")</f>
        <v/>
      </c>
    </row>
    <row r="26">
      <c r="A26" s="3" t="n">
        <v>23</v>
      </c>
      <c r="B26" s="7">
        <f>F25</f>
        <v/>
      </c>
      <c r="C26" s="7">
        <f>10_P&amp;L!F26</f>
        <v/>
      </c>
      <c r="D26" s="7" t="n">
        <v>0</v>
      </c>
      <c r="E26" s="7">
        <f>C26-D26</f>
        <v/>
      </c>
      <c r="F26" s="7">
        <f>B26+E26</f>
        <v/>
      </c>
      <c r="G26" s="7">
        <f>MAX(0,-E26)</f>
        <v/>
      </c>
      <c r="H26" s="3">
        <f>IF(F26&lt;=0,"Funding required","Positive")</f>
        <v/>
      </c>
    </row>
    <row r="27">
      <c r="A27" s="3" t="n">
        <v>24</v>
      </c>
      <c r="B27" s="7">
        <f>F26</f>
        <v/>
      </c>
      <c r="C27" s="7">
        <f>10_P&amp;L!F27</f>
        <v/>
      </c>
      <c r="D27" s="7" t="n">
        <v>0</v>
      </c>
      <c r="E27" s="7">
        <f>C27-D27</f>
        <v/>
      </c>
      <c r="F27" s="7">
        <f>B27+E27</f>
        <v/>
      </c>
      <c r="G27" s="7">
        <f>MAX(0,-E27)</f>
        <v/>
      </c>
      <c r="H27" s="3">
        <f>IF(F27&lt;=0,"Funding required","Positive")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4" customWidth="1" min="4" max="4"/>
    <col width="60" customWidth="1" min="5" max="5"/>
  </cols>
  <sheetData>
    <row r="1">
      <c r="A1" s="1" t="inlineStr">
        <is>
          <t>Unit Economics — Explicitly Unvalidated Until Alpha</t>
        </is>
      </c>
    </row>
    <row r="3">
      <c r="A3" s="4" t="inlineStr">
        <is>
          <t>Metric</t>
        </is>
      </c>
      <c r="B3" s="4" t="inlineStr">
        <is>
          <t>Formula / value</t>
        </is>
      </c>
      <c r="C3" s="4" t="inlineStr">
        <is>
          <t>Unit</t>
        </is>
      </c>
      <c r="D3" s="4" t="inlineStr">
        <is>
          <t>Status</t>
        </is>
      </c>
      <c r="E3" s="4" t="inlineStr">
        <is>
          <t>Interpretation</t>
        </is>
      </c>
      <c r="F3" s="12" t="inlineStr"/>
      <c r="G3" s="12" t="inlineStr"/>
      <c r="H3" s="12" t="inlineStr"/>
      <c r="I3" s="12" t="inlineStr"/>
      <c r="J3" s="12" t="inlineStr"/>
    </row>
    <row r="4">
      <c r="A4" s="3" t="inlineStr">
        <is>
          <t>Average ADR</t>
        </is>
      </c>
      <c r="B4" s="7">
        <f>04_DEMAND_MODEL!I4</f>
        <v/>
      </c>
      <c r="C4" s="3" t="inlineStr">
        <is>
          <t>EGP/night</t>
        </is>
      </c>
      <c r="D4" s="3" t="inlineStr">
        <is>
          <t>Derived</t>
        </is>
      </c>
      <c r="E4" s="3" t="inlineStr">
        <is>
          <t>Depends on listing mix and assumed ADRs</t>
        </is>
      </c>
    </row>
    <row r="5">
      <c r="A5" s="3" t="inlineStr">
        <is>
          <t>Average nights / booking</t>
        </is>
      </c>
      <c r="B5" s="3">
        <f>02_MARKETPLACE_ASSUMPTIONS!B10</f>
        <v/>
      </c>
      <c r="C5" s="3" t="inlineStr">
        <is>
          <t>nights</t>
        </is>
      </c>
      <c r="D5" s="3" t="inlineStr">
        <is>
          <t>Draft assumption</t>
        </is>
      </c>
      <c r="E5" s="3" t="inlineStr">
        <is>
          <t>Must be measured</t>
        </is>
      </c>
    </row>
    <row r="6">
      <c r="A6" s="3" t="inlineStr">
        <is>
          <t>Revenue / booking (Base)</t>
        </is>
      </c>
      <c r="B6" s="7">
        <f>B4*B5*02_MARKETPLACE_ASSUMPTIONS!B17</f>
        <v/>
      </c>
      <c r="C6" s="3" t="inlineStr">
        <is>
          <t>EGP</t>
        </is>
      </c>
      <c r="D6" s="3" t="inlineStr">
        <is>
          <t>Derived</t>
        </is>
      </c>
      <c r="E6" s="3" t="inlineStr">
        <is>
          <t>Post-alpha base commission only</t>
        </is>
      </c>
    </row>
    <row r="7">
      <c r="A7" s="3" t="inlineStr">
        <is>
          <t>Payment cost / booking</t>
        </is>
      </c>
      <c r="B7" s="7">
        <f>B6*02_MARKETPLACE_ASSUMPTIONS!B15</f>
        <v/>
      </c>
      <c r="C7" s="3" t="inlineStr">
        <is>
          <t>EGP</t>
        </is>
      </c>
      <c r="D7" s="3" t="inlineStr">
        <is>
          <t>Derived</t>
        </is>
      </c>
      <c r="E7" s="3" t="inlineStr">
        <is>
          <t>Processor-dependent</t>
        </is>
      </c>
    </row>
    <row r="8">
      <c r="A8" s="3" t="inlineStr">
        <is>
          <t>Contribution / booking</t>
        </is>
      </c>
      <c r="B8" s="7">
        <f>B6-B7</f>
        <v/>
      </c>
      <c r="C8" s="3" t="inlineStr">
        <is>
          <t>EGP</t>
        </is>
      </c>
      <c r="D8" s="3" t="inlineStr">
        <is>
          <t>Derived</t>
        </is>
      </c>
      <c r="E8" s="3" t="inlineStr">
        <is>
          <t>Before fixed costs</t>
        </is>
      </c>
    </row>
    <row r="9">
      <c r="A9" s="3" t="inlineStr">
        <is>
          <t>CAC</t>
        </is>
      </c>
      <c r="B9" s="3">
        <f>0</f>
        <v/>
      </c>
      <c r="C9" s="3" t="inlineStr">
        <is>
          <t>EGP/customer</t>
        </is>
      </c>
      <c r="D9" s="3" t="inlineStr">
        <is>
          <t>Not available</t>
        </is>
      </c>
      <c r="E9" s="3" t="inlineStr">
        <is>
          <t>No real acquisition evidence yet</t>
        </is>
      </c>
    </row>
    <row r="10">
      <c r="A10" s="3" t="inlineStr">
        <is>
          <t>LTV</t>
        </is>
      </c>
      <c r="B10" s="3">
        <f>0</f>
        <v/>
      </c>
      <c r="C10" s="3" t="inlineStr">
        <is>
          <t>EGP/customer</t>
        </is>
      </c>
      <c r="D10" s="3" t="inlineStr">
        <is>
          <t>Not available</t>
        </is>
      </c>
      <c r="E10" s="3" t="inlineStr">
        <is>
          <t>No retention/transaction history</t>
        </is>
      </c>
    </row>
    <row r="11">
      <c r="A11" s="3" t="inlineStr">
        <is>
          <t>LTV:CAC</t>
        </is>
      </c>
      <c r="B11" s="3">
        <f>0</f>
        <v/>
      </c>
      <c r="C11" s="3" t="inlineStr">
        <is>
          <t>ratio</t>
        </is>
      </c>
      <c r="D11" s="3" t="inlineStr">
        <is>
          <t>Not available</t>
        </is>
      </c>
      <c r="E11" s="3" t="inlineStr">
        <is>
          <t>Do not use for investment decisions yet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20" customWidth="1" min="5" max="5"/>
    <col width="45" customWidth="1" min="6" max="6"/>
  </cols>
  <sheetData>
    <row r="1">
      <c r="A1" s="1" t="inlineStr">
        <is>
          <t>Scenario Comparison — Downside / Base / Upside</t>
        </is>
      </c>
    </row>
    <row r="3">
      <c r="A3" s="4" t="inlineStr">
        <is>
          <t>Driver</t>
        </is>
      </c>
      <c r="B3" s="4" t="inlineStr">
        <is>
          <t>Downside</t>
        </is>
      </c>
      <c r="C3" s="4" t="inlineStr">
        <is>
          <t>Base</t>
        </is>
      </c>
      <c r="D3" s="4" t="inlineStr">
        <is>
          <t>Upside</t>
        </is>
      </c>
      <c r="E3" s="4" t="inlineStr">
        <is>
          <t>Status</t>
        </is>
      </c>
      <c r="F3" s="4" t="inlineStr">
        <is>
          <t>Source / rationale</t>
        </is>
      </c>
      <c r="G3" t="inlineStr"/>
      <c r="H3" t="inlineStr"/>
      <c r="I3" t="inlineStr"/>
      <c r="J3" t="inlineStr"/>
    </row>
    <row r="4">
      <c r="A4" s="3" t="inlineStr">
        <is>
          <t>Post-alpha commission</t>
        </is>
      </c>
      <c r="B4" s="6" t="n">
        <v>0.08</v>
      </c>
      <c r="C4" s="6" t="n">
        <v>0.1</v>
      </c>
      <c r="D4" s="6" t="n">
        <v>0.12</v>
      </c>
      <c r="E4" s="3" t="inlineStr">
        <is>
          <t>Scenario</t>
        </is>
      </c>
      <c r="F4" s="3" t="inlineStr">
        <is>
          <t>Founder workbook range adapted as scenarios</t>
        </is>
      </c>
    </row>
    <row r="5">
      <c r="A5" s="3" t="inlineStr">
        <is>
          <t>Monthly qualified demand</t>
        </is>
      </c>
      <c r="B5" s="3" t="n">
        <v>60</v>
      </c>
      <c r="C5" s="3" t="n">
        <v>100</v>
      </c>
      <c r="D5" s="3" t="n">
        <v>160</v>
      </c>
      <c r="E5" s="3" t="inlineStr">
        <is>
          <t>Draft assumption</t>
        </is>
      </c>
      <c r="F5" s="3" t="inlineStr">
        <is>
          <t>Must be validated</t>
        </is>
      </c>
    </row>
    <row r="6">
      <c r="A6" s="3" t="inlineStr">
        <is>
          <t>Booking conversion</t>
        </is>
      </c>
      <c r="B6" s="6" t="n">
        <v>0.015</v>
      </c>
      <c r="C6" s="6" t="n">
        <v>0.03</v>
      </c>
      <c r="D6" s="6" t="n">
        <v>0.05</v>
      </c>
      <c r="E6" s="3" t="inlineStr">
        <is>
          <t>Draft assumption</t>
        </is>
      </c>
      <c r="F6" s="3" t="inlineStr">
        <is>
          <t>Must be validated</t>
        </is>
      </c>
    </row>
    <row r="7">
      <c r="A7" s="3" t="inlineStr">
        <is>
          <t>Average nights / booking</t>
        </is>
      </c>
      <c r="B7" s="3" t="n">
        <v>2</v>
      </c>
      <c r="C7" s="3" t="n">
        <v>2.5</v>
      </c>
      <c r="D7" s="3" t="n">
        <v>3</v>
      </c>
      <c r="E7" s="3" t="inlineStr">
        <is>
          <t>Draft assumption</t>
        </is>
      </c>
      <c r="F7" s="3" t="inlineStr">
        <is>
          <t>Must be validated</t>
        </is>
      </c>
    </row>
    <row r="8">
      <c r="A8" s="3" t="inlineStr">
        <is>
          <t>Monthly marketing</t>
        </is>
      </c>
      <c r="B8" s="3" t="n">
        <v>5000</v>
      </c>
      <c r="C8" s="3" t="n">
        <v>10000</v>
      </c>
      <c r="D8" s="3" t="n">
        <v>20000</v>
      </c>
      <c r="E8" s="3" t="inlineStr">
        <is>
          <t>Draft assumption</t>
        </is>
      </c>
      <c r="F8" s="3" t="inlineStr">
        <is>
          <t>Must be validated</t>
        </is>
      </c>
    </row>
    <row r="9">
      <c r="A9" s="3" t="inlineStr">
        <is>
          <t>Monthly payroll</t>
        </is>
      </c>
      <c r="B9" s="3" t="n">
        <v>25000</v>
      </c>
      <c r="C9" s="3" t="n">
        <v>29000</v>
      </c>
      <c r="D9" s="3" t="n">
        <v>40000</v>
      </c>
      <c r="E9" s="3" t="inlineStr">
        <is>
          <t>Draft assumption</t>
        </is>
      </c>
      <c r="F9" s="3" t="inlineStr">
        <is>
          <t>Must be validated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2" customWidth="1" min="3" max="3"/>
    <col width="22" customWidth="1" min="4" max="4"/>
    <col width="42" customWidth="1" min="5" max="5"/>
    <col width="24" customWidth="1" min="6" max="6"/>
  </cols>
  <sheetData>
    <row r="1">
      <c r="A1" s="1" t="inlineStr">
        <is>
          <t>Closed Alpha Model — Validation First</t>
        </is>
      </c>
    </row>
    <row r="3">
      <c r="A3" s="4" t="inlineStr">
        <is>
          <t>Metric</t>
        </is>
      </c>
      <c r="B3" s="4" t="inlineStr">
        <is>
          <t>Current evidence</t>
        </is>
      </c>
      <c r="C3" s="4" t="inlineStr">
        <is>
          <t>Alpha target / rule</t>
        </is>
      </c>
      <c r="D3" s="4" t="inlineStr">
        <is>
          <t>Status</t>
        </is>
      </c>
      <c r="E3" s="4" t="inlineStr">
        <is>
          <t>Why it matters</t>
        </is>
      </c>
      <c r="F3" s="4" t="inlineStr">
        <is>
          <t>Owner action</t>
        </is>
      </c>
      <c r="G3" t="inlineStr"/>
      <c r="H3" t="inlineStr"/>
      <c r="I3" t="inlineStr"/>
      <c r="J3" t="inlineStr"/>
    </row>
    <row r="4">
      <c r="A4" s="3" t="inlineStr">
        <is>
          <t>Real users</t>
        </is>
      </c>
      <c r="B4" s="3" t="n">
        <v>0</v>
      </c>
      <c r="C4" s="3" t="inlineStr">
        <is>
          <t>Acquire first users</t>
        </is>
      </c>
      <c r="D4" s="3" t="inlineStr">
        <is>
          <t>Not started</t>
        </is>
      </c>
      <c r="E4" s="3" t="inlineStr">
        <is>
          <t>Demand validation</t>
        </is>
      </c>
      <c r="F4" s="3" t="inlineStr">
        <is>
          <t>Founder</t>
        </is>
      </c>
    </row>
    <row r="5">
      <c r="A5" s="3" t="inlineStr">
        <is>
          <t>Real bookable listings</t>
        </is>
      </c>
      <c r="B5" s="3" t="n">
        <v>0</v>
      </c>
      <c r="C5" s="3" t="inlineStr">
        <is>
          <t>Acquire 3–5 real listings</t>
        </is>
      </c>
      <c r="D5" s="3" t="inlineStr">
        <is>
          <t>Not started</t>
        </is>
      </c>
      <c r="E5" s="3" t="inlineStr">
        <is>
          <t>Supply validation</t>
        </is>
      </c>
      <c r="F5" s="3" t="inlineStr">
        <is>
          <t>Founder</t>
        </is>
      </c>
    </row>
    <row r="6">
      <c r="A6" s="3" t="inlineStr">
        <is>
          <t>Bookings</t>
        </is>
      </c>
      <c r="B6" s="3" t="n">
        <v>0</v>
      </c>
      <c r="C6" s="3" t="inlineStr">
        <is>
          <t>7 by Week 6 (10 only if supply condition met)</t>
        </is>
      </c>
      <c r="D6" s="3" t="inlineStr">
        <is>
          <t>Not started</t>
        </is>
      </c>
      <c r="E6" s="3" t="inlineStr">
        <is>
          <t>Core transaction proof</t>
        </is>
      </c>
      <c r="F6" s="3" t="inlineStr">
        <is>
          <t>Founder + team</t>
        </is>
      </c>
    </row>
    <row r="7">
      <c r="A7" s="3" t="inlineStr">
        <is>
          <t>Revenue</t>
        </is>
      </c>
      <c r="B7" s="3" t="n">
        <v>0</v>
      </c>
      <c r="C7" s="3" t="inlineStr">
        <is>
          <t>0% platform commission during alpha</t>
        </is>
      </c>
      <c r="D7" s="3" t="inlineStr">
        <is>
          <t>Current rule</t>
        </is>
      </c>
      <c r="E7" s="3" t="inlineStr">
        <is>
          <t>Validate behavior before monetization</t>
        </is>
      </c>
      <c r="F7" s="3" t="inlineStr">
        <is>
          <t>Founder</t>
        </is>
      </c>
    </row>
    <row r="8">
      <c r="A8" s="3" t="inlineStr">
        <is>
          <t>Differentiation evidence</t>
        </is>
      </c>
      <c r="B8" s="3" t="n">
        <v>0</v>
      </c>
      <c r="C8" s="3" t="inlineStr">
        <is>
          <t>Guest feedback + repeat/choice evidence</t>
        </is>
      </c>
      <c r="D8" s="3" t="inlineStr">
        <is>
          <t>Not started</t>
        </is>
      </c>
      <c r="E8" s="3" t="inlineStr">
        <is>
          <t>Core hypothesis</t>
        </is>
      </c>
      <c r="F8" s="3" t="inlineStr">
        <is>
          <t>Founder</t>
        </is>
      </c>
    </row>
    <row r="9">
      <c r="A9" s="3" t="inlineStr">
        <is>
          <t>Booking CTA on OPPO</t>
        </is>
      </c>
      <c r="B9" s="3" t="n">
        <v>0</v>
      </c>
      <c r="C9" s="3" t="inlineStr">
        <is>
          <t>Must work before booking loop</t>
        </is>
      </c>
      <c r="D9" s="3" t="inlineStr">
        <is>
          <t>P0 blocker</t>
        </is>
      </c>
      <c r="E9" s="3" t="inlineStr">
        <is>
          <t>Technical gate</t>
        </is>
      </c>
      <c r="F9" s="3" t="inlineStr">
        <is>
          <t>Engineering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</cols>
  <sheetData>
    <row r="1">
      <c r="A1" s="1" t="inlineStr">
        <is>
          <t>StayOS Financial &amp; Marketplace Dashboard</t>
        </is>
      </c>
    </row>
    <row r="3">
      <c r="A3" s="2" t="inlineStr">
        <is>
          <t>Current real listings</t>
        </is>
      </c>
      <c r="B3" s="3" t="n">
        <v>0</v>
      </c>
      <c r="C3" s="3" t="inlineStr">
        <is>
          <t>Current evidence</t>
        </is>
      </c>
    </row>
    <row r="4">
      <c r="A4" s="2" t="inlineStr">
        <is>
          <t>Current real bookings</t>
        </is>
      </c>
      <c r="B4" s="3" t="n">
        <v>0</v>
      </c>
      <c r="C4" s="3" t="inlineStr">
        <is>
          <t>Current evidence</t>
        </is>
      </c>
    </row>
    <row r="5">
      <c r="A5" s="2" t="inlineStr">
        <is>
          <t>Current real users</t>
        </is>
      </c>
      <c r="B5" s="3" t="n">
        <v>0</v>
      </c>
      <c r="C5" s="3" t="inlineStr">
        <is>
          <t>Current evidence</t>
        </is>
      </c>
    </row>
    <row r="6">
      <c r="A6" s="2" t="inlineStr">
        <is>
          <t>Alpha booking target</t>
        </is>
      </c>
      <c r="B6" s="3" t="n">
        <v>7</v>
      </c>
      <c r="C6" s="3" t="inlineStr">
        <is>
          <t>Current decision</t>
        </is>
      </c>
    </row>
    <row r="7">
      <c r="A7" s="2" t="inlineStr">
        <is>
          <t>Modeled 24M GMV</t>
        </is>
      </c>
      <c r="B7" s="7">
        <f>SUM('06_REVENUE_MODEL'!B4:B27)</f>
        <v/>
      </c>
      <c r="C7" s="3" t="inlineStr">
        <is>
          <t>Illustrative model</t>
        </is>
      </c>
    </row>
    <row r="8">
      <c r="A8" s="2" t="inlineStr">
        <is>
          <t>Modeled 24M Base revenue</t>
        </is>
      </c>
      <c r="B8" s="7">
        <f>SUM('06_REVENUE_MODEL'!H4:H27)</f>
        <v/>
      </c>
      <c r="C8" s="3" t="inlineStr">
        <is>
          <t>Illustrative model</t>
        </is>
      </c>
    </row>
    <row r="9">
      <c r="A9" s="2" t="inlineStr">
        <is>
          <t>Modeled 24M Base net platform revenue</t>
        </is>
      </c>
      <c r="B9" s="7">
        <f>SUM('06_REVENUE_MODEL'!M4:M27)</f>
        <v/>
      </c>
      <c r="C9" s="3" t="inlineStr">
        <is>
          <t>Illustrative model</t>
        </is>
      </c>
    </row>
    <row r="10">
      <c r="A10" s="2" t="inlineStr">
        <is>
          <t>Modeled 24M EBITDA</t>
        </is>
      </c>
      <c r="B10" s="7">
        <f>SUM('10_P&amp;L'!F4:F27)</f>
        <v/>
      </c>
      <c r="C10" s="3" t="inlineStr">
        <is>
          <t>Illustrative model</t>
        </is>
      </c>
    </row>
    <row r="11">
      <c r="A11" s="2" t="inlineStr">
        <is>
          <t>Break-even month</t>
        </is>
      </c>
      <c r="B11" s="13">
        <f>IFERROR(MATCH(TRUE,INDEX('10_P&amp;L'!G4:G27&gt;=0,0),0),"Not reached")</f>
        <v/>
      </c>
      <c r="C11" s="3" t="inlineStr">
        <is>
          <t>Illustrative model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StayOS</dc:creator>
  <dc:title xmlns:dc="http://purl.org/dc/elements/1.1/">StayOS Financial Model v2 Draft</dc:title>
  <dc:subject xmlns:dc="http://purl.org/dc/elements/1.1/">Marketplace operating model with alpha/post-alpha separation</dc:subject>
  <dcterms:created xmlns:dcterms="http://purl.org/dc/terms/" xmlns:xsi="http://www.w3.org/2001/XMLSchema-instance" xsi:type="dcterms:W3CDTF">2026-08-22T20:22:37Z</dcterms:created>
  <dcterms:modified xmlns:dcterms="http://purl.org/dc/terms/" xmlns:xsi="http://www.w3.org/2001/XMLSchema-instance" xsi:type="dcterms:W3CDTF">2026-08-22T20:22:37Z</dcterms:modified>
</cp:coreProperties>
</file>