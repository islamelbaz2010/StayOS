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17" documentId="13_ncr:1_{49E8E0DC-C382-44F8-A855-33F8C3ED0832}" xr6:coauthVersionLast="47" xr6:coauthVersionMax="47" xr10:uidLastSave="{1A9BD67B-55E0-4292-8CB7-21F3FAC219E9}"/>
  <bookViews>
    <workbookView xWindow="-98" yWindow="-98" windowWidth="21795" windowHeight="13875" activeTab="3" xr2:uid="{00000000-000D-0000-FFFF-FFFF00000000}"/>
  </bookViews>
  <sheets>
    <sheet name="Needs" sheetId="1" r:id="rId1"/>
    <sheet name="Rev. MDL Forcasting" sheetId="3" r:id="rId2"/>
    <sheet name="KickOff_Year 01" sheetId="2" r:id="rId3"/>
    <sheet name="2nd Ye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4" l="1"/>
  <c r="G9" i="4"/>
  <c r="T9" i="4" s="1"/>
  <c r="I24" i="4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R38" i="4"/>
  <c r="S38" i="4" s="1"/>
  <c r="O38" i="4"/>
  <c r="P38" i="4" s="1"/>
  <c r="L38" i="4"/>
  <c r="H35" i="4"/>
  <c r="G35" i="4"/>
  <c r="T33" i="4"/>
  <c r="T32" i="4"/>
  <c r="T31" i="4"/>
  <c r="T30" i="4"/>
  <c r="I23" i="4"/>
  <c r="I35" i="4" s="1"/>
  <c r="T22" i="4"/>
  <c r="T21" i="4"/>
  <c r="T20" i="4"/>
  <c r="T12" i="4"/>
  <c r="G4" i="4"/>
  <c r="T3" i="4"/>
  <c r="L44" i="3"/>
  <c r="L45" i="3" s="1"/>
  <c r="L47" i="3" s="1"/>
  <c r="K44" i="3"/>
  <c r="K45" i="3" s="1"/>
  <c r="K47" i="3" s="1"/>
  <c r="J44" i="3"/>
  <c r="J45" i="3" s="1"/>
  <c r="J47" i="3" s="1"/>
  <c r="L35" i="3"/>
  <c r="L33" i="3"/>
  <c r="L32" i="3"/>
  <c r="K32" i="3"/>
  <c r="K33" i="3" s="1"/>
  <c r="K35" i="3" s="1"/>
  <c r="J32" i="3"/>
  <c r="J33" i="3" s="1"/>
  <c r="J35" i="3" s="1"/>
  <c r="L21" i="3"/>
  <c r="L22" i="3" s="1"/>
  <c r="L24" i="3" s="1"/>
  <c r="K21" i="3"/>
  <c r="K22" i="3" s="1"/>
  <c r="K24" i="3" s="1"/>
  <c r="J21" i="3"/>
  <c r="J22" i="3" s="1"/>
  <c r="J24" i="3" s="1"/>
  <c r="L8" i="3"/>
  <c r="L9" i="3" s="1"/>
  <c r="L11" i="3" s="1"/>
  <c r="J12" i="3" s="1"/>
  <c r="K8" i="3"/>
  <c r="K9" i="3" s="1"/>
  <c r="K11" i="3" s="1"/>
  <c r="J8" i="3"/>
  <c r="J9" i="3" s="1"/>
  <c r="J11" i="3" s="1"/>
  <c r="M40" i="2"/>
  <c r="L40" i="2"/>
  <c r="K40" i="2"/>
  <c r="O37" i="2"/>
  <c r="P37" i="2" s="1"/>
  <c r="P40" i="2" s="1"/>
  <c r="L37" i="2"/>
  <c r="M37" i="2" s="1"/>
  <c r="N40" i="2"/>
  <c r="O40" i="2"/>
  <c r="Q40" i="2"/>
  <c r="R37" i="2"/>
  <c r="S37" i="2" s="1"/>
  <c r="S40" i="2" s="1"/>
  <c r="I37" i="2"/>
  <c r="J37" i="2" s="1"/>
  <c r="D44" i="3"/>
  <c r="D45" i="3" s="1"/>
  <c r="D47" i="3" s="1"/>
  <c r="C44" i="3"/>
  <c r="C45" i="3" s="1"/>
  <c r="C47" i="3" s="1"/>
  <c r="B44" i="3"/>
  <c r="B45" i="3" s="1"/>
  <c r="B47" i="3" s="1"/>
  <c r="D32" i="3"/>
  <c r="D33" i="3" s="1"/>
  <c r="D35" i="3" s="1"/>
  <c r="C32" i="3"/>
  <c r="C33" i="3" s="1"/>
  <c r="C35" i="3" s="1"/>
  <c r="B32" i="3"/>
  <c r="B33" i="3" s="1"/>
  <c r="B35" i="3" s="1"/>
  <c r="D21" i="3"/>
  <c r="D22" i="3" s="1"/>
  <c r="D24" i="3" s="1"/>
  <c r="C21" i="3"/>
  <c r="C22" i="3" s="1"/>
  <c r="C24" i="3" s="1"/>
  <c r="B21" i="3"/>
  <c r="B22" i="3" s="1"/>
  <c r="B24" i="3" s="1"/>
  <c r="C8" i="3"/>
  <c r="C9" i="3" s="1"/>
  <c r="C11" i="3" s="1"/>
  <c r="D8" i="3"/>
  <c r="D9" i="3" s="1"/>
  <c r="D11" i="3" s="1"/>
  <c r="B8" i="3"/>
  <c r="B9" i="3" s="1"/>
  <c r="B11" i="3" s="1"/>
  <c r="T3" i="2"/>
  <c r="G4" i="2"/>
  <c r="H41" i="4" l="1"/>
  <c r="J23" i="4"/>
  <c r="U16" i="4"/>
  <c r="I41" i="4"/>
  <c r="J38" i="4"/>
  <c r="M38" i="4"/>
  <c r="J48" i="3"/>
  <c r="J25" i="3"/>
  <c r="J36" i="3"/>
  <c r="B12" i="3"/>
  <c r="R40" i="2"/>
  <c r="B48" i="3"/>
  <c r="B36" i="3"/>
  <c r="B25" i="3"/>
  <c r="J35" i="4" l="1"/>
  <c r="D47" i="4" s="1"/>
  <c r="K23" i="4"/>
  <c r="U38" i="4"/>
  <c r="T30" i="2"/>
  <c r="T31" i="2"/>
  <c r="T32" i="2"/>
  <c r="T29" i="2"/>
  <c r="L23" i="4" l="1"/>
  <c r="K35" i="4"/>
  <c r="K41" i="4" s="1"/>
  <c r="J41" i="4"/>
  <c r="T12" i="2"/>
  <c r="T20" i="2"/>
  <c r="T21" i="2"/>
  <c r="T22" i="2"/>
  <c r="G9" i="2"/>
  <c r="T9" i="2" s="1"/>
  <c r="H34" i="2"/>
  <c r="L35" i="4" l="1"/>
  <c r="L41" i="4" s="1"/>
  <c r="M23" i="4"/>
  <c r="G34" i="2"/>
  <c r="U16" i="2"/>
  <c r="I23" i="2"/>
  <c r="I34" i="2" s="1"/>
  <c r="N23" i="4" l="1"/>
  <c r="M35" i="4"/>
  <c r="M41" i="4" s="1"/>
  <c r="J23" i="2"/>
  <c r="J34" i="2" s="1"/>
  <c r="D46" i="2" s="1"/>
  <c r="O23" i="4" l="1"/>
  <c r="N35" i="4"/>
  <c r="N41" i="4" s="1"/>
  <c r="K23" i="2"/>
  <c r="K34" i="2" s="1"/>
  <c r="O35" i="4" l="1"/>
  <c r="O41" i="4" s="1"/>
  <c r="P23" i="4"/>
  <c r="I40" i="2"/>
  <c r="J40" i="2"/>
  <c r="H40" i="2"/>
  <c r="L23" i="2"/>
  <c r="L34" i="2" s="1"/>
  <c r="P35" i="4" l="1"/>
  <c r="P41" i="4" s="1"/>
  <c r="Q23" i="4"/>
  <c r="M23" i="2"/>
  <c r="M34" i="2" s="1"/>
  <c r="Q35" i="4" l="1"/>
  <c r="R23" i="4"/>
  <c r="N23" i="2"/>
  <c r="N34" i="2" s="1"/>
  <c r="R35" i="4" l="1"/>
  <c r="R41" i="4" s="1"/>
  <c r="S23" i="4"/>
  <c r="Q41" i="4"/>
  <c r="O23" i="2"/>
  <c r="O34" i="2" s="1"/>
  <c r="S35" i="4" l="1"/>
  <c r="T23" i="4"/>
  <c r="U20" i="4" s="1"/>
  <c r="U37" i="2"/>
  <c r="P23" i="2"/>
  <c r="P34" i="2" s="1"/>
  <c r="S41" i="4" l="1"/>
  <c r="U35" i="4"/>
  <c r="U41" i="4" s="1"/>
  <c r="D49" i="4" s="1"/>
  <c r="Q23" i="2"/>
  <c r="Q34" i="2" s="1"/>
  <c r="R23" i="2" l="1"/>
  <c r="R34" i="2" s="1"/>
  <c r="S23" i="2" l="1"/>
  <c r="S34" i="2" s="1"/>
  <c r="T23" i="2" l="1"/>
  <c r="U20" i="2" s="1"/>
  <c r="U34" i="2"/>
  <c r="U40" i="2" s="1"/>
  <c r="D48" i="2" s="1"/>
  <c r="T25" i="2"/>
  <c r="T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7" authorId="0" shapeId="0" xr:uid="{767BA7A2-6CFF-4251-A3FF-E95FF97DF9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Covarage areas in 1st year will be in great cairo (Cairo &amp; Giza)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8" authorId="0" shapeId="0" xr:uid="{22E7FEB7-E4AA-42CB-988E-531C7A2D92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I8" authorId="0" shapeId="0" xr:uid="{322EAAB1-064D-4649-9876-DD55741A55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A9" authorId="0" shapeId="0" xr:uid="{850F3FC7-9DF7-4393-BC2D-9BFE4A32FF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I9" authorId="0" shapeId="0" xr:uid="{56EA456C-0C88-4FD1-AA31-DF205F8760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A21" authorId="0" shapeId="0" xr:uid="{4DE4708C-03FA-4A04-B4B7-F00ADC6B02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I21" authorId="0" shapeId="0" xr:uid="{FF3A4F34-1E2B-414F-8BF5-8186D49743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A22" authorId="0" shapeId="0" xr:uid="{8DCF5CB0-7242-4D4D-B2F9-4166506154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I22" authorId="0" shapeId="0" xr:uid="{C128BB19-2330-416B-9F72-0C93075606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A32" authorId="0" shapeId="0" xr:uid="{502151D9-BC5D-4208-98AA-9D53ABAD53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I32" authorId="0" shapeId="0" xr:uid="{3EE12A16-CAC9-4DA4-BDD6-16AF4C4E6B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A33" authorId="0" shapeId="0" xr:uid="{965FC63B-0C37-4BDA-B43D-16BB456606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I33" authorId="0" shapeId="0" xr:uid="{DFA34623-CD44-4F03-9036-49CC0AF56A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A44" authorId="0" shapeId="0" xr:uid="{17765002-740E-4B9D-BB77-6FF2DC8801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I44" authorId="0" shapeId="0" xr:uid="{2C6781ED-BAE4-4F63-9EE9-68B682CBDF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Daily Booking Value</t>
        </r>
      </text>
    </comment>
    <comment ref="A45" authorId="0" shapeId="0" xr:uid="{36C9638F-3ABA-4541-9C38-08F84B1D13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  <comment ref="I45" authorId="0" shapeId="0" xr:uid="{FD5B8181-0224-407A-80DF-5C171A1AE4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Monthly booking 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1" authorId="0" shapeId="0" xr:uid="{33FEDACC-C749-48C1-B89F-1BACD940803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 time</t>
        </r>
      </text>
    </comment>
    <comment ref="D29" authorId="0" shapeId="0" xr:uid="{13DD989B-0ACF-4E3E-936D-AAEDAD389F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Price in USD has been turned in to EGP
100 USD Monthly
Rate:47.5 EGY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1" authorId="0" shapeId="0" xr:uid="{E26FD903-159C-43E2-A9B0-8683BB041D3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 time</t>
        </r>
      </text>
    </comment>
    <comment ref="D30" authorId="0" shapeId="0" xr:uid="{716C4C3E-18AD-4881-B8BA-3139CD22F53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Price in USD has been turned in to EGP
100 USD Monthly
Rate:47.5 EGY</t>
        </r>
      </text>
    </comment>
  </commentList>
</comments>
</file>

<file path=xl/sharedStrings.xml><?xml version="1.0" encoding="utf-8"?>
<sst xmlns="http://schemas.openxmlformats.org/spreadsheetml/2006/main" count="187" uniqueCount="65">
  <si>
    <t>S/N</t>
  </si>
  <si>
    <t>Element</t>
  </si>
  <si>
    <t>Mobil Application</t>
  </si>
  <si>
    <t>Legal</t>
  </si>
  <si>
    <t>CR</t>
  </si>
  <si>
    <t>Quantity</t>
  </si>
  <si>
    <t>Element/Timing</t>
  </si>
  <si>
    <t>Initiative cost</t>
  </si>
  <si>
    <t>Working capital</t>
  </si>
  <si>
    <t>Assets</t>
  </si>
  <si>
    <t>a</t>
  </si>
  <si>
    <t>b</t>
  </si>
  <si>
    <t>Salaries</t>
  </si>
  <si>
    <t>Marketing</t>
  </si>
  <si>
    <t>Rent</t>
  </si>
  <si>
    <t>e</t>
  </si>
  <si>
    <t>Note</t>
  </si>
  <si>
    <t xml:space="preserve">Coverage areas </t>
  </si>
  <si>
    <t>Manpower</t>
  </si>
  <si>
    <t>Office Manager</t>
  </si>
  <si>
    <t>Management</t>
  </si>
  <si>
    <t>Operation</t>
  </si>
  <si>
    <t>CPU</t>
  </si>
  <si>
    <t>Total</t>
  </si>
  <si>
    <t>Sum</t>
  </si>
  <si>
    <t>Villa</t>
  </si>
  <si>
    <t>Campaigns</t>
  </si>
  <si>
    <t>MKT Materials</t>
  </si>
  <si>
    <t>Exp.</t>
  </si>
  <si>
    <t>Co. Share</t>
  </si>
  <si>
    <t>Revenues</t>
  </si>
  <si>
    <t>NET before Tax</t>
  </si>
  <si>
    <t>Technical fees</t>
  </si>
  <si>
    <t>Server</t>
  </si>
  <si>
    <t>Domain</t>
  </si>
  <si>
    <t>App Store Upload</t>
  </si>
  <si>
    <t>Google Play Upload</t>
  </si>
  <si>
    <t>f</t>
  </si>
  <si>
    <t>KickOff Cost</t>
  </si>
  <si>
    <t>ROI</t>
  </si>
  <si>
    <t>Accontant</t>
  </si>
  <si>
    <t>MKT agent</t>
  </si>
  <si>
    <t>Laptopds</t>
  </si>
  <si>
    <t>Q</t>
  </si>
  <si>
    <t>Commecial Registration -EG</t>
  </si>
  <si>
    <t>Operation &amp; Host Manager</t>
  </si>
  <si>
    <t>Types</t>
  </si>
  <si>
    <t>Studio</t>
  </si>
  <si>
    <t>App</t>
  </si>
  <si>
    <t>Co Ratio</t>
  </si>
  <si>
    <t>Booking Freq.</t>
  </si>
  <si>
    <t>Rent fees/Night</t>
  </si>
  <si>
    <t>DBV</t>
  </si>
  <si>
    <t>MBV</t>
  </si>
  <si>
    <t>Total types</t>
  </si>
  <si>
    <t>1st Q</t>
  </si>
  <si>
    <t>2nd Q</t>
  </si>
  <si>
    <t>3rd Q</t>
  </si>
  <si>
    <t>4th Q</t>
  </si>
  <si>
    <t>Acc</t>
  </si>
  <si>
    <t>Great Cairo</t>
  </si>
  <si>
    <t>1st Y</t>
  </si>
  <si>
    <t>2nd Y</t>
  </si>
  <si>
    <t>Customer Services</t>
  </si>
  <si>
    <t>Customer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</si>
</sst>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7" fontId="1" fillId="4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/>
    <xf numFmtId="164" fontId="2" fillId="2" borderId="0" xfId="1" applyNumberFormat="1" applyFont="1" applyFill="1" applyAlignment="1">
      <alignment horizontal="center"/>
    </xf>
    <xf numFmtId="164" fontId="2" fillId="5" borderId="3" xfId="1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2" borderId="0" xfId="1" applyNumberFormat="1" applyFont="1" applyFill="1" applyAlignment="1">
      <alignment horizontal="center"/>
    </xf>
    <xf numFmtId="164" fontId="8" fillId="5" borderId="3" xfId="1" applyNumberFormat="1" applyFont="1" applyFill="1" applyBorder="1" applyAlignment="1">
      <alignment horizontal="center"/>
    </xf>
    <xf numFmtId="43" fontId="9" fillId="0" borderId="0" xfId="1" applyFont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left" indent="2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12" fillId="0" borderId="0" xfId="1" applyNumberFormat="1" applyFont="1" applyAlignment="1">
      <alignment horizontal="center"/>
    </xf>
    <xf numFmtId="0" fontId="2" fillId="5" borderId="3" xfId="0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0" fillId="0" borderId="2" xfId="0" applyNumberFormat="1" applyBorder="1"/>
    <xf numFmtId="164" fontId="0" fillId="0" borderId="2" xfId="1" applyNumberFormat="1" applyFont="1" applyBorder="1"/>
    <xf numFmtId="164" fontId="0" fillId="0" borderId="13" xfId="0" applyNumberFormat="1" applyBorder="1"/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0" borderId="16" xfId="0" applyFont="1" applyFill="1" applyBorder="1"/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17" sqref="A17"/>
    </sheetView>
  </sheetViews>
  <sheetFormatPr defaultColWidth="8.86328125" defaultRowHeight="14.25" x14ac:dyDescent="0.45"/>
  <cols>
    <col min="1" max="1" width="4" style="1" bestFit="1" customWidth="1"/>
    <col min="2" max="2" width="17.86328125" style="1" customWidth="1"/>
    <col min="3" max="3" width="16.06640625" style="1" bestFit="1" customWidth="1"/>
    <col min="4" max="4" width="9.19921875" style="1" bestFit="1" customWidth="1"/>
    <col min="5" max="16384" width="8.86328125" style="1"/>
  </cols>
  <sheetData>
    <row r="1" spans="1:4" s="3" customFormat="1" ht="15.75" x14ac:dyDescent="0.5">
      <c r="A1" s="3" t="s">
        <v>0</v>
      </c>
      <c r="B1" s="3" t="s">
        <v>1</v>
      </c>
      <c r="D1" s="3" t="s">
        <v>5</v>
      </c>
    </row>
    <row r="3" spans="1:4" x14ac:dyDescent="0.45">
      <c r="A3" s="1">
        <v>1</v>
      </c>
      <c r="B3" s="1" t="s">
        <v>2</v>
      </c>
      <c r="D3" s="1">
        <v>1</v>
      </c>
    </row>
    <row r="5" spans="1:4" x14ac:dyDescent="0.45">
      <c r="A5" s="1">
        <v>2</v>
      </c>
      <c r="B5" s="1" t="s">
        <v>18</v>
      </c>
    </row>
    <row r="6" spans="1:4" x14ac:dyDescent="0.45">
      <c r="C6" s="1" t="s">
        <v>19</v>
      </c>
      <c r="D6" s="1">
        <v>1</v>
      </c>
    </row>
    <row r="7" spans="1:4" x14ac:dyDescent="0.45">
      <c r="C7" s="1" t="s">
        <v>59</v>
      </c>
      <c r="D7" s="1">
        <v>1</v>
      </c>
    </row>
    <row r="8" spans="1:4" x14ac:dyDescent="0.45">
      <c r="C8" s="1" t="s">
        <v>21</v>
      </c>
      <c r="D8" s="1">
        <v>1</v>
      </c>
    </row>
    <row r="10" spans="1:4" x14ac:dyDescent="0.45">
      <c r="A10" s="1">
        <v>3</v>
      </c>
      <c r="B10" s="1" t="s">
        <v>3</v>
      </c>
    </row>
    <row r="11" spans="1:4" x14ac:dyDescent="0.45">
      <c r="C11" s="1" t="s">
        <v>4</v>
      </c>
    </row>
    <row r="14" spans="1:4" x14ac:dyDescent="0.45">
      <c r="A14" s="1">
        <v>4</v>
      </c>
      <c r="B14" s="1" t="s">
        <v>14</v>
      </c>
      <c r="C14" s="1" t="s">
        <v>20</v>
      </c>
      <c r="D14" s="51">
        <v>1</v>
      </c>
    </row>
    <row r="17" spans="1:4" x14ac:dyDescent="0.45">
      <c r="A17" s="1">
        <v>5</v>
      </c>
      <c r="B17" s="1" t="s">
        <v>16</v>
      </c>
      <c r="C17" s="1" t="s">
        <v>17</v>
      </c>
    </row>
    <row r="18" spans="1:4" x14ac:dyDescent="0.45">
      <c r="D18" s="1" t="s">
        <v>60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2622-2C7D-447B-B675-2A4C91F60A1F}">
  <dimension ref="A1:N48"/>
  <sheetViews>
    <sheetView topLeftCell="C20" workbookViewId="0">
      <selection activeCell="F41" sqref="F41"/>
    </sheetView>
  </sheetViews>
  <sheetFormatPr defaultRowHeight="14.25" x14ac:dyDescent="0.45"/>
  <cols>
    <col min="1" max="1" width="13.19921875" bestFit="1" customWidth="1"/>
    <col min="2" max="2" width="13.06640625" bestFit="1" customWidth="1"/>
    <col min="3" max="4" width="11.86328125" bestFit="1" customWidth="1"/>
    <col min="5" max="5" width="10.3984375" customWidth="1"/>
    <col min="6" max="6" width="18.3984375" bestFit="1" customWidth="1"/>
    <col min="7" max="7" width="10.3984375" style="1" customWidth="1"/>
    <col min="8" max="8" width="6.46484375" style="1" bestFit="1" customWidth="1"/>
    <col min="9" max="9" width="13.19921875" style="1" bestFit="1" customWidth="1"/>
    <col min="10" max="10" width="8.3984375" style="1" bestFit="1" customWidth="1"/>
    <col min="11" max="11" width="13" style="1" bestFit="1" customWidth="1"/>
    <col min="12" max="12" width="9.86328125" style="1" bestFit="1" customWidth="1"/>
    <col min="13" max="13" width="8.3984375" style="1" bestFit="1" customWidth="1"/>
    <col min="15" max="15" width="9.06640625" customWidth="1"/>
  </cols>
  <sheetData>
    <row r="1" spans="1:14" x14ac:dyDescent="0.45">
      <c r="A1" s="52" t="s">
        <v>61</v>
      </c>
      <c r="B1" s="53"/>
      <c r="C1" s="53"/>
      <c r="D1" s="53"/>
      <c r="E1" s="53"/>
      <c r="F1" s="54"/>
      <c r="I1" s="52" t="s">
        <v>62</v>
      </c>
      <c r="J1" s="53"/>
      <c r="K1" s="53"/>
      <c r="L1" s="53"/>
      <c r="M1" s="53"/>
      <c r="N1" s="54"/>
    </row>
    <row r="2" spans="1:14" ht="14.65" thickBot="1" x14ac:dyDescent="0.5">
      <c r="A2" s="55"/>
      <c r="B2" s="56"/>
      <c r="C2" s="56"/>
      <c r="D2" s="56"/>
      <c r="E2" s="56"/>
      <c r="F2" s="57"/>
      <c r="I2" s="55"/>
      <c r="J2" s="56"/>
      <c r="K2" s="56"/>
      <c r="L2" s="56"/>
      <c r="M2" s="56"/>
      <c r="N2" s="57"/>
    </row>
    <row r="3" spans="1:14" ht="14.65" thickBot="1" x14ac:dyDescent="0.5"/>
    <row r="4" spans="1:14" x14ac:dyDescent="0.45">
      <c r="B4" s="38" t="s">
        <v>46</v>
      </c>
      <c r="C4" s="39"/>
      <c r="D4" s="40"/>
      <c r="I4"/>
      <c r="J4" s="38" t="s">
        <v>46</v>
      </c>
      <c r="K4" s="39"/>
      <c r="L4" s="40"/>
      <c r="M4"/>
    </row>
    <row r="5" spans="1:14" x14ac:dyDescent="0.45">
      <c r="B5" s="13" t="s">
        <v>47</v>
      </c>
      <c r="C5" s="13" t="s">
        <v>48</v>
      </c>
      <c r="D5" s="13" t="s">
        <v>25</v>
      </c>
      <c r="I5"/>
      <c r="J5" s="13" t="s">
        <v>47</v>
      </c>
      <c r="K5" s="13" t="s">
        <v>48</v>
      </c>
      <c r="L5" s="13" t="s">
        <v>25</v>
      </c>
      <c r="M5"/>
    </row>
    <row r="6" spans="1:14" ht="14.65" thickBot="1" x14ac:dyDescent="0.5">
      <c r="A6" s="13" t="s">
        <v>51</v>
      </c>
      <c r="B6" s="42">
        <v>1800</v>
      </c>
      <c r="C6" s="42">
        <v>2500</v>
      </c>
      <c r="D6" s="42">
        <v>6000</v>
      </c>
      <c r="I6" s="13" t="s">
        <v>51</v>
      </c>
      <c r="J6" s="42">
        <v>1800</v>
      </c>
      <c r="K6" s="42">
        <v>2500</v>
      </c>
      <c r="L6" s="42">
        <v>6000</v>
      </c>
      <c r="M6"/>
    </row>
    <row r="7" spans="1:14" x14ac:dyDescent="0.45">
      <c r="A7" s="13" t="s">
        <v>50</v>
      </c>
      <c r="B7" s="13">
        <v>1</v>
      </c>
      <c r="C7" s="13">
        <v>1</v>
      </c>
      <c r="D7" s="13">
        <v>1</v>
      </c>
      <c r="F7" s="48" t="s">
        <v>55</v>
      </c>
      <c r="I7" s="13" t="s">
        <v>50</v>
      </c>
      <c r="J7" s="13">
        <v>5</v>
      </c>
      <c r="K7" s="13">
        <v>5</v>
      </c>
      <c r="L7" s="13">
        <v>5</v>
      </c>
      <c r="M7"/>
      <c r="N7" s="48" t="s">
        <v>55</v>
      </c>
    </row>
    <row r="8" spans="1:14" x14ac:dyDescent="0.45">
      <c r="A8" s="13" t="s">
        <v>52</v>
      </c>
      <c r="B8" s="42">
        <f>B6*B7</f>
        <v>1800</v>
      </c>
      <c r="C8" s="42">
        <f t="shared" ref="C8:D8" si="0">C6*C7</f>
        <v>2500</v>
      </c>
      <c r="D8" s="42">
        <f t="shared" si="0"/>
        <v>6000</v>
      </c>
      <c r="F8" s="49"/>
      <c r="I8" s="13" t="s">
        <v>52</v>
      </c>
      <c r="J8" s="42">
        <f>J6*J7</f>
        <v>9000</v>
      </c>
      <c r="K8" s="42">
        <f t="shared" ref="K8" si="1">K6*K7</f>
        <v>12500</v>
      </c>
      <c r="L8" s="42">
        <f t="shared" ref="L8" si="2">L6*L7</f>
        <v>30000</v>
      </c>
      <c r="M8"/>
      <c r="N8" s="49"/>
    </row>
    <row r="9" spans="1:14" ht="14.65" thickBot="1" x14ac:dyDescent="0.5">
      <c r="A9" s="13" t="s">
        <v>53</v>
      </c>
      <c r="B9" s="42">
        <f>B8*30</f>
        <v>54000</v>
      </c>
      <c r="C9" s="42">
        <f t="shared" ref="C9:D9" si="3">C8*30</f>
        <v>75000</v>
      </c>
      <c r="D9" s="42">
        <f t="shared" si="3"/>
        <v>180000</v>
      </c>
      <c r="F9" s="50"/>
      <c r="I9" s="13" t="s">
        <v>53</v>
      </c>
      <c r="J9" s="42">
        <f>J8*30</f>
        <v>270000</v>
      </c>
      <c r="K9" s="42">
        <f t="shared" ref="K9" si="4">K8*30</f>
        <v>375000</v>
      </c>
      <c r="L9" s="42">
        <f t="shared" ref="L9" si="5">L8*30</f>
        <v>900000</v>
      </c>
      <c r="M9"/>
      <c r="N9" s="50"/>
    </row>
    <row r="10" spans="1:14" x14ac:dyDescent="0.45">
      <c r="A10" s="13" t="s">
        <v>49</v>
      </c>
      <c r="B10" s="41">
        <v>0.12</v>
      </c>
      <c r="C10" s="41">
        <v>0.1</v>
      </c>
      <c r="D10" s="41">
        <v>0.12</v>
      </c>
      <c r="I10" s="13" t="s">
        <v>49</v>
      </c>
      <c r="J10" s="41">
        <v>0.12</v>
      </c>
      <c r="K10" s="41">
        <v>0.1</v>
      </c>
      <c r="L10" s="41">
        <v>0.12</v>
      </c>
      <c r="M10"/>
    </row>
    <row r="11" spans="1:14" ht="14.65" thickBot="1" x14ac:dyDescent="0.5">
      <c r="A11" s="13" t="s">
        <v>29</v>
      </c>
      <c r="B11" s="43">
        <f>B9*B10</f>
        <v>6480</v>
      </c>
      <c r="C11" s="43">
        <f t="shared" ref="C11:D11" si="6">C9*C10</f>
        <v>7500</v>
      </c>
      <c r="D11" s="43">
        <f t="shared" si="6"/>
        <v>21600</v>
      </c>
      <c r="I11" s="13" t="s">
        <v>29</v>
      </c>
      <c r="J11" s="43">
        <f>J9*J10</f>
        <v>32400</v>
      </c>
      <c r="K11" s="43">
        <f t="shared" ref="K11" si="7">K9*K10</f>
        <v>37500</v>
      </c>
      <c r="L11" s="43">
        <f t="shared" ref="L11" si="8">L9*L10</f>
        <v>108000</v>
      </c>
      <c r="M11"/>
    </row>
    <row r="12" spans="1:14" ht="14.65" thickBot="1" x14ac:dyDescent="0.5">
      <c r="A12" s="47" t="s">
        <v>54</v>
      </c>
      <c r="B12" s="44">
        <f>D11+C11+B11</f>
        <v>35580</v>
      </c>
      <c r="C12" s="45"/>
      <c r="D12" s="46"/>
      <c r="I12" s="47" t="s">
        <v>54</v>
      </c>
      <c r="J12" s="44">
        <f>L11+K11+J11</f>
        <v>177900</v>
      </c>
      <c r="K12" s="45"/>
      <c r="L12" s="46"/>
      <c r="M12"/>
    </row>
    <row r="13" spans="1:14" x14ac:dyDescent="0.45">
      <c r="I13"/>
      <c r="J13"/>
      <c r="K13"/>
      <c r="L13"/>
      <c r="M13"/>
    </row>
    <row r="14" spans="1:14" x14ac:dyDescent="0.45">
      <c r="I14"/>
      <c r="J14"/>
      <c r="K14"/>
      <c r="L14"/>
      <c r="M14"/>
    </row>
    <row r="15" spans="1:14" x14ac:dyDescent="0.45">
      <c r="I15"/>
      <c r="J15"/>
      <c r="K15"/>
      <c r="L15"/>
      <c r="M15"/>
    </row>
    <row r="16" spans="1:14" ht="14.65" thickBot="1" x14ac:dyDescent="0.5">
      <c r="I16"/>
      <c r="J16"/>
      <c r="K16"/>
      <c r="L16"/>
      <c r="M16"/>
    </row>
    <row r="17" spans="1:14" x14ac:dyDescent="0.45">
      <c r="B17" s="38" t="s">
        <v>46</v>
      </c>
      <c r="C17" s="39"/>
      <c r="D17" s="40"/>
      <c r="I17"/>
      <c r="J17" s="38" t="s">
        <v>46</v>
      </c>
      <c r="K17" s="39"/>
      <c r="L17" s="40"/>
      <c r="M17"/>
    </row>
    <row r="18" spans="1:14" ht="14.65" thickBot="1" x14ac:dyDescent="0.5">
      <c r="B18" s="13" t="s">
        <v>47</v>
      </c>
      <c r="C18" s="13" t="s">
        <v>48</v>
      </c>
      <c r="D18" s="13" t="s">
        <v>25</v>
      </c>
      <c r="I18"/>
      <c r="J18" s="13" t="s">
        <v>47</v>
      </c>
      <c r="K18" s="13" t="s">
        <v>48</v>
      </c>
      <c r="L18" s="13" t="s">
        <v>25</v>
      </c>
      <c r="M18"/>
    </row>
    <row r="19" spans="1:14" x14ac:dyDescent="0.45">
      <c r="A19" s="13" t="s">
        <v>51</v>
      </c>
      <c r="B19" s="42">
        <v>1800</v>
      </c>
      <c r="C19" s="42">
        <v>2500</v>
      </c>
      <c r="D19" s="42">
        <v>6000</v>
      </c>
      <c r="F19" s="48" t="s">
        <v>56</v>
      </c>
      <c r="I19" s="13" t="s">
        <v>51</v>
      </c>
      <c r="J19" s="42">
        <v>1800</v>
      </c>
      <c r="K19" s="42">
        <v>2500</v>
      </c>
      <c r="L19" s="42">
        <v>6000</v>
      </c>
      <c r="M19"/>
      <c r="N19" s="48" t="s">
        <v>56</v>
      </c>
    </row>
    <row r="20" spans="1:14" x14ac:dyDescent="0.45">
      <c r="A20" s="13" t="s">
        <v>50</v>
      </c>
      <c r="B20" s="13">
        <v>2</v>
      </c>
      <c r="C20" s="13">
        <v>2</v>
      </c>
      <c r="D20" s="13">
        <v>2</v>
      </c>
      <c r="F20" s="49"/>
      <c r="I20" s="13" t="s">
        <v>50</v>
      </c>
      <c r="J20" s="13">
        <v>6</v>
      </c>
      <c r="K20" s="13">
        <v>6</v>
      </c>
      <c r="L20" s="13">
        <v>6</v>
      </c>
      <c r="M20"/>
      <c r="N20" s="49"/>
    </row>
    <row r="21" spans="1:14" ht="14.65" thickBot="1" x14ac:dyDescent="0.5">
      <c r="A21" s="13" t="s">
        <v>52</v>
      </c>
      <c r="B21" s="42">
        <f>B19*B20</f>
        <v>3600</v>
      </c>
      <c r="C21" s="42">
        <f t="shared" ref="C21" si="9">C19*C20</f>
        <v>5000</v>
      </c>
      <c r="D21" s="42">
        <f t="shared" ref="D21" si="10">D19*D20</f>
        <v>12000</v>
      </c>
      <c r="F21" s="50"/>
      <c r="I21" s="13" t="s">
        <v>52</v>
      </c>
      <c r="J21" s="42">
        <f>J19*J20</f>
        <v>10800</v>
      </c>
      <c r="K21" s="42">
        <f t="shared" ref="K21" si="11">K19*K20</f>
        <v>15000</v>
      </c>
      <c r="L21" s="42">
        <f t="shared" ref="L21" si="12">L19*L20</f>
        <v>36000</v>
      </c>
      <c r="M21"/>
      <c r="N21" s="50"/>
    </row>
    <row r="22" spans="1:14" x14ac:dyDescent="0.45">
      <c r="A22" s="13" t="s">
        <v>53</v>
      </c>
      <c r="B22" s="42">
        <f>B21*30</f>
        <v>108000</v>
      </c>
      <c r="C22" s="42">
        <f t="shared" ref="C22" si="13">C21*30</f>
        <v>150000</v>
      </c>
      <c r="D22" s="42">
        <f t="shared" ref="D22" si="14">D21*30</f>
        <v>360000</v>
      </c>
      <c r="I22" s="13" t="s">
        <v>53</v>
      </c>
      <c r="J22" s="42">
        <f>J21*30</f>
        <v>324000</v>
      </c>
      <c r="K22" s="42">
        <f t="shared" ref="K22" si="15">K21*30</f>
        <v>450000</v>
      </c>
      <c r="L22" s="42">
        <f t="shared" ref="L22" si="16">L21*30</f>
        <v>1080000</v>
      </c>
      <c r="M22"/>
    </row>
    <row r="23" spans="1:14" x14ac:dyDescent="0.45">
      <c r="A23" s="13" t="s">
        <v>49</v>
      </c>
      <c r="B23" s="41">
        <v>0.12</v>
      </c>
      <c r="C23" s="41">
        <v>0.1</v>
      </c>
      <c r="D23" s="41">
        <v>0.12</v>
      </c>
      <c r="I23" s="13" t="s">
        <v>49</v>
      </c>
      <c r="J23" s="41">
        <v>0.12</v>
      </c>
      <c r="K23" s="41">
        <v>0.1</v>
      </c>
      <c r="L23" s="41">
        <v>0.12</v>
      </c>
      <c r="M23"/>
    </row>
    <row r="24" spans="1:14" ht="14.65" thickBot="1" x14ac:dyDescent="0.5">
      <c r="A24" s="13" t="s">
        <v>29</v>
      </c>
      <c r="B24" s="43">
        <f>B22*B23</f>
        <v>12960</v>
      </c>
      <c r="C24" s="43">
        <f t="shared" ref="C24" si="17">C22*C23</f>
        <v>15000</v>
      </c>
      <c r="D24" s="43">
        <f t="shared" ref="D24" si="18">D22*D23</f>
        <v>43200</v>
      </c>
      <c r="I24" s="13" t="s">
        <v>29</v>
      </c>
      <c r="J24" s="43">
        <f>J22*J23</f>
        <v>38880</v>
      </c>
      <c r="K24" s="43">
        <f t="shared" ref="K24" si="19">K22*K23</f>
        <v>45000</v>
      </c>
      <c r="L24" s="43">
        <f t="shared" ref="L24" si="20">L22*L23</f>
        <v>129600</v>
      </c>
      <c r="M24"/>
    </row>
    <row r="25" spans="1:14" ht="14.65" thickBot="1" x14ac:dyDescent="0.5">
      <c r="A25" s="47" t="s">
        <v>54</v>
      </c>
      <c r="B25" s="44">
        <f>D24+C24+B24</f>
        <v>71160</v>
      </c>
      <c r="C25" s="45"/>
      <c r="D25" s="46"/>
      <c r="I25" s="47" t="s">
        <v>54</v>
      </c>
      <c r="J25" s="44">
        <f>L24+K24+J24</f>
        <v>213480</v>
      </c>
      <c r="K25" s="45"/>
      <c r="L25" s="46"/>
      <c r="M25"/>
    </row>
    <row r="26" spans="1:14" x14ac:dyDescent="0.45">
      <c r="I26"/>
      <c r="J26"/>
      <c r="K26"/>
      <c r="L26"/>
      <c r="M26"/>
    </row>
    <row r="27" spans="1:14" ht="14.65" thickBot="1" x14ac:dyDescent="0.5">
      <c r="I27"/>
      <c r="J27"/>
      <c r="K27"/>
      <c r="L27"/>
      <c r="M27"/>
    </row>
    <row r="28" spans="1:14" x14ac:dyDescent="0.45">
      <c r="B28" s="38" t="s">
        <v>46</v>
      </c>
      <c r="C28" s="39"/>
      <c r="D28" s="40"/>
      <c r="I28"/>
      <c r="J28" s="38" t="s">
        <v>46</v>
      </c>
      <c r="K28" s="39"/>
      <c r="L28" s="40"/>
      <c r="M28"/>
    </row>
    <row r="29" spans="1:14" ht="14.65" thickBot="1" x14ac:dyDescent="0.5">
      <c r="B29" s="13" t="s">
        <v>47</v>
      </c>
      <c r="C29" s="13" t="s">
        <v>48</v>
      </c>
      <c r="D29" s="13" t="s">
        <v>25</v>
      </c>
      <c r="I29"/>
      <c r="J29" s="13" t="s">
        <v>47</v>
      </c>
      <c r="K29" s="13" t="s">
        <v>48</v>
      </c>
      <c r="L29" s="13" t="s">
        <v>25</v>
      </c>
      <c r="M29"/>
    </row>
    <row r="30" spans="1:14" x14ac:dyDescent="0.45">
      <c r="A30" s="13" t="s">
        <v>51</v>
      </c>
      <c r="B30" s="42">
        <v>1800</v>
      </c>
      <c r="C30" s="42">
        <v>2500</v>
      </c>
      <c r="D30" s="42">
        <v>6000</v>
      </c>
      <c r="F30" s="48" t="s">
        <v>57</v>
      </c>
      <c r="I30" s="13" t="s">
        <v>51</v>
      </c>
      <c r="J30" s="42">
        <v>1800</v>
      </c>
      <c r="K30" s="42">
        <v>2500</v>
      </c>
      <c r="L30" s="42">
        <v>6000</v>
      </c>
      <c r="M30"/>
      <c r="N30" s="48" t="s">
        <v>57</v>
      </c>
    </row>
    <row r="31" spans="1:14" x14ac:dyDescent="0.45">
      <c r="A31" s="13" t="s">
        <v>50</v>
      </c>
      <c r="B31" s="13">
        <v>3</v>
      </c>
      <c r="C31" s="13">
        <v>3</v>
      </c>
      <c r="D31" s="13">
        <v>3</v>
      </c>
      <c r="F31" s="49"/>
      <c r="I31" s="13" t="s">
        <v>50</v>
      </c>
      <c r="J31" s="13">
        <v>7</v>
      </c>
      <c r="K31" s="13">
        <v>7</v>
      </c>
      <c r="L31" s="13">
        <v>7</v>
      </c>
      <c r="M31"/>
      <c r="N31" s="49"/>
    </row>
    <row r="32" spans="1:14" ht="14.65" thickBot="1" x14ac:dyDescent="0.5">
      <c r="A32" s="13" t="s">
        <v>52</v>
      </c>
      <c r="B32" s="42">
        <f>B30*B31</f>
        <v>5400</v>
      </c>
      <c r="C32" s="42">
        <f t="shared" ref="C32" si="21">C30*C31</f>
        <v>7500</v>
      </c>
      <c r="D32" s="42">
        <f t="shared" ref="D32" si="22">D30*D31</f>
        <v>18000</v>
      </c>
      <c r="F32" s="50"/>
      <c r="I32" s="13" t="s">
        <v>52</v>
      </c>
      <c r="J32" s="42">
        <f>J30*J31</f>
        <v>12600</v>
      </c>
      <c r="K32" s="42">
        <f t="shared" ref="K32" si="23">K30*K31</f>
        <v>17500</v>
      </c>
      <c r="L32" s="42">
        <f t="shared" ref="L32" si="24">L30*L31</f>
        <v>42000</v>
      </c>
      <c r="M32"/>
      <c r="N32" s="50"/>
    </row>
    <row r="33" spans="1:14" x14ac:dyDescent="0.45">
      <c r="A33" s="13" t="s">
        <v>53</v>
      </c>
      <c r="B33" s="42">
        <f>B32*30</f>
        <v>162000</v>
      </c>
      <c r="C33" s="42">
        <f t="shared" ref="C33" si="25">C32*30</f>
        <v>225000</v>
      </c>
      <c r="D33" s="42">
        <f t="shared" ref="D33" si="26">D32*30</f>
        <v>540000</v>
      </c>
      <c r="I33" s="13" t="s">
        <v>53</v>
      </c>
      <c r="J33" s="42">
        <f>J32*30</f>
        <v>378000</v>
      </c>
      <c r="K33" s="42">
        <f t="shared" ref="K33" si="27">K32*30</f>
        <v>525000</v>
      </c>
      <c r="L33" s="42">
        <f t="shared" ref="L33" si="28">L32*30</f>
        <v>1260000</v>
      </c>
      <c r="M33"/>
    </row>
    <row r="34" spans="1:14" x14ac:dyDescent="0.45">
      <c r="A34" s="13" t="s">
        <v>49</v>
      </c>
      <c r="B34" s="41">
        <v>0.12</v>
      </c>
      <c r="C34" s="41">
        <v>0.1</v>
      </c>
      <c r="D34" s="41">
        <v>0.12</v>
      </c>
      <c r="I34" s="13" t="s">
        <v>49</v>
      </c>
      <c r="J34" s="41">
        <v>0.12</v>
      </c>
      <c r="K34" s="41">
        <v>0.1</v>
      </c>
      <c r="L34" s="41">
        <v>0.12</v>
      </c>
      <c r="M34"/>
    </row>
    <row r="35" spans="1:14" ht="14.65" thickBot="1" x14ac:dyDescent="0.5">
      <c r="A35" s="13" t="s">
        <v>29</v>
      </c>
      <c r="B35" s="43">
        <f>B33*B34</f>
        <v>19440</v>
      </c>
      <c r="C35" s="43">
        <f t="shared" ref="C35" si="29">C33*C34</f>
        <v>22500</v>
      </c>
      <c r="D35" s="43">
        <f t="shared" ref="D35" si="30">D33*D34</f>
        <v>64800</v>
      </c>
      <c r="I35" s="13" t="s">
        <v>29</v>
      </c>
      <c r="J35" s="43">
        <f>J33*J34</f>
        <v>45360</v>
      </c>
      <c r="K35" s="43">
        <f t="shared" ref="K35" si="31">K33*K34</f>
        <v>52500</v>
      </c>
      <c r="L35" s="43">
        <f t="shared" ref="L35" si="32">L33*L34</f>
        <v>151200</v>
      </c>
      <c r="M35"/>
    </row>
    <row r="36" spans="1:14" ht="14.65" thickBot="1" x14ac:dyDescent="0.5">
      <c r="A36" s="47" t="s">
        <v>54</v>
      </c>
      <c r="B36" s="44">
        <f>D35+C35+B35</f>
        <v>106740</v>
      </c>
      <c r="C36" s="45"/>
      <c r="D36" s="46"/>
      <c r="I36" s="47" t="s">
        <v>54</v>
      </c>
      <c r="J36" s="44">
        <f>L35+K35+J35</f>
        <v>249060</v>
      </c>
      <c r="K36" s="45"/>
      <c r="L36" s="46"/>
      <c r="M36"/>
    </row>
    <row r="37" spans="1:14" x14ac:dyDescent="0.45">
      <c r="I37"/>
      <c r="J37"/>
      <c r="K37"/>
      <c r="L37"/>
      <c r="M37"/>
    </row>
    <row r="38" spans="1:14" x14ac:dyDescent="0.45">
      <c r="I38"/>
      <c r="J38"/>
      <c r="K38"/>
      <c r="L38"/>
      <c r="M38"/>
    </row>
    <row r="39" spans="1:14" ht="14.65" thickBot="1" x14ac:dyDescent="0.5">
      <c r="I39"/>
      <c r="J39"/>
      <c r="K39"/>
      <c r="L39"/>
      <c r="M39"/>
    </row>
    <row r="40" spans="1:14" x14ac:dyDescent="0.45">
      <c r="B40" s="38" t="s">
        <v>46</v>
      </c>
      <c r="C40" s="39"/>
      <c r="D40" s="40"/>
      <c r="I40"/>
      <c r="J40" s="38" t="s">
        <v>46</v>
      </c>
      <c r="K40" s="39"/>
      <c r="L40" s="40"/>
      <c r="M40"/>
    </row>
    <row r="41" spans="1:14" x14ac:dyDescent="0.45">
      <c r="B41" s="13" t="s">
        <v>47</v>
      </c>
      <c r="C41" s="13" t="s">
        <v>48</v>
      </c>
      <c r="D41" s="13" t="s">
        <v>25</v>
      </c>
      <c r="I41"/>
      <c r="J41" s="13" t="s">
        <v>47</v>
      </c>
      <c r="K41" s="13" t="s">
        <v>48</v>
      </c>
      <c r="L41" s="13" t="s">
        <v>25</v>
      </c>
      <c r="M41"/>
    </row>
    <row r="42" spans="1:14" ht="14.65" thickBot="1" x14ac:dyDescent="0.5">
      <c r="A42" s="13" t="s">
        <v>51</v>
      </c>
      <c r="B42" s="42">
        <v>1800</v>
      </c>
      <c r="C42" s="42">
        <v>2500</v>
      </c>
      <c r="D42" s="42">
        <v>6000</v>
      </c>
      <c r="I42" s="13" t="s">
        <v>51</v>
      </c>
      <c r="J42" s="42">
        <v>1800</v>
      </c>
      <c r="K42" s="42">
        <v>2500</v>
      </c>
      <c r="L42" s="42">
        <v>6000</v>
      </c>
      <c r="M42"/>
    </row>
    <row r="43" spans="1:14" x14ac:dyDescent="0.45">
      <c r="A43" s="13" t="s">
        <v>50</v>
      </c>
      <c r="B43" s="13">
        <v>4</v>
      </c>
      <c r="C43" s="13">
        <v>4</v>
      </c>
      <c r="D43" s="13">
        <v>4</v>
      </c>
      <c r="F43" s="48" t="s">
        <v>58</v>
      </c>
      <c r="I43" s="13" t="s">
        <v>50</v>
      </c>
      <c r="J43" s="13">
        <v>8</v>
      </c>
      <c r="K43" s="13">
        <v>8</v>
      </c>
      <c r="L43" s="13">
        <v>8</v>
      </c>
      <c r="M43"/>
      <c r="N43" s="48" t="s">
        <v>58</v>
      </c>
    </row>
    <row r="44" spans="1:14" x14ac:dyDescent="0.45">
      <c r="A44" s="13" t="s">
        <v>52</v>
      </c>
      <c r="B44" s="42">
        <f>B42*B43</f>
        <v>7200</v>
      </c>
      <c r="C44" s="42">
        <f t="shared" ref="C44" si="33">C42*C43</f>
        <v>10000</v>
      </c>
      <c r="D44" s="42">
        <f t="shared" ref="D44" si="34">D42*D43</f>
        <v>24000</v>
      </c>
      <c r="F44" s="49"/>
      <c r="I44" s="13" t="s">
        <v>52</v>
      </c>
      <c r="J44" s="42">
        <f>J42*J43</f>
        <v>14400</v>
      </c>
      <c r="K44" s="42">
        <f t="shared" ref="K44" si="35">K42*K43</f>
        <v>20000</v>
      </c>
      <c r="L44" s="42">
        <f t="shared" ref="L44" si="36">L42*L43</f>
        <v>48000</v>
      </c>
      <c r="M44"/>
      <c r="N44" s="49"/>
    </row>
    <row r="45" spans="1:14" ht="14.65" thickBot="1" x14ac:dyDescent="0.5">
      <c r="A45" s="13" t="s">
        <v>53</v>
      </c>
      <c r="B45" s="42">
        <f>B44*30</f>
        <v>216000</v>
      </c>
      <c r="C45" s="42">
        <f t="shared" ref="C45" si="37">C44*30</f>
        <v>300000</v>
      </c>
      <c r="D45" s="42">
        <f t="shared" ref="D45" si="38">D44*30</f>
        <v>720000</v>
      </c>
      <c r="F45" s="50"/>
      <c r="I45" s="13" t="s">
        <v>53</v>
      </c>
      <c r="J45" s="42">
        <f>J44*30</f>
        <v>432000</v>
      </c>
      <c r="K45" s="42">
        <f t="shared" ref="K45" si="39">K44*30</f>
        <v>600000</v>
      </c>
      <c r="L45" s="42">
        <f t="shared" ref="L45" si="40">L44*30</f>
        <v>1440000</v>
      </c>
      <c r="M45"/>
      <c r="N45" s="50"/>
    </row>
    <row r="46" spans="1:14" x14ac:dyDescent="0.45">
      <c r="A46" s="13" t="s">
        <v>49</v>
      </c>
      <c r="B46" s="41">
        <v>0.12</v>
      </c>
      <c r="C46" s="41">
        <v>0.1</v>
      </c>
      <c r="D46" s="41">
        <v>0.12</v>
      </c>
      <c r="I46" s="13" t="s">
        <v>49</v>
      </c>
      <c r="J46" s="41">
        <v>0.12</v>
      </c>
      <c r="K46" s="41">
        <v>0.1</v>
      </c>
      <c r="L46" s="41">
        <v>0.12</v>
      </c>
      <c r="M46"/>
    </row>
    <row r="47" spans="1:14" ht="14.65" thickBot="1" x14ac:dyDescent="0.5">
      <c r="A47" s="13" t="s">
        <v>29</v>
      </c>
      <c r="B47" s="43">
        <f>B45*B46</f>
        <v>25920</v>
      </c>
      <c r="C47" s="43">
        <f t="shared" ref="C47" si="41">C45*C46</f>
        <v>30000</v>
      </c>
      <c r="D47" s="43">
        <f t="shared" ref="D47" si="42">D45*D46</f>
        <v>86400</v>
      </c>
      <c r="I47" s="13" t="s">
        <v>29</v>
      </c>
      <c r="J47" s="43">
        <f>J45*J46</f>
        <v>51840</v>
      </c>
      <c r="K47" s="43">
        <f t="shared" ref="K47" si="43">K45*K46</f>
        <v>60000</v>
      </c>
      <c r="L47" s="43">
        <f t="shared" ref="L47" si="44">L45*L46</f>
        <v>172800</v>
      </c>
      <c r="M47"/>
    </row>
    <row r="48" spans="1:14" ht="14.65" thickBot="1" x14ac:dyDescent="0.5">
      <c r="A48" s="47" t="s">
        <v>54</v>
      </c>
      <c r="B48" s="44">
        <f>D47+C47+B47</f>
        <v>142320</v>
      </c>
      <c r="C48" s="45"/>
      <c r="D48" s="46"/>
      <c r="I48" s="47" t="s">
        <v>54</v>
      </c>
      <c r="J48" s="44">
        <f>L47+K47+J47</f>
        <v>284640</v>
      </c>
      <c r="K48" s="45"/>
      <c r="L48" s="46"/>
      <c r="M48"/>
    </row>
  </sheetData>
  <mergeCells count="26">
    <mergeCell ref="J40:L40"/>
    <mergeCell ref="N43:N45"/>
    <mergeCell ref="J48:L48"/>
    <mergeCell ref="I1:N2"/>
    <mergeCell ref="N19:N21"/>
    <mergeCell ref="J25:L25"/>
    <mergeCell ref="J28:L28"/>
    <mergeCell ref="N30:N32"/>
    <mergeCell ref="J36:L36"/>
    <mergeCell ref="A1:F2"/>
    <mergeCell ref="J4:L4"/>
    <mergeCell ref="N7:N9"/>
    <mergeCell ref="J12:L12"/>
    <mergeCell ref="J17:L17"/>
    <mergeCell ref="B36:D36"/>
    <mergeCell ref="F30:F32"/>
    <mergeCell ref="B40:D40"/>
    <mergeCell ref="B48:D48"/>
    <mergeCell ref="F43:F45"/>
    <mergeCell ref="B4:D4"/>
    <mergeCell ref="B12:D12"/>
    <mergeCell ref="B17:D17"/>
    <mergeCell ref="B25:D25"/>
    <mergeCell ref="F7:F9"/>
    <mergeCell ref="F19:F21"/>
    <mergeCell ref="B28:D2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workbookViewId="0">
      <pane ySplit="1" topLeftCell="A2" activePane="bottomLeft" state="frozen"/>
      <selection pane="bottomLeft" sqref="A1:XFD1048576"/>
    </sheetView>
  </sheetViews>
  <sheetFormatPr defaultColWidth="8.86328125" defaultRowHeight="14.25" x14ac:dyDescent="0.45"/>
  <cols>
    <col min="1" max="1" width="3.73046875" style="1" bestFit="1" customWidth="1"/>
    <col min="2" max="2" width="1.73046875" style="1" bestFit="1" customWidth="1"/>
    <col min="3" max="3" width="25" style="1" bestFit="1" customWidth="1"/>
    <col min="4" max="4" width="22.265625" style="1" bestFit="1" customWidth="1"/>
    <col min="5" max="5" width="7.6640625" style="1" customWidth="1"/>
    <col min="6" max="6" width="7.3984375" style="1" bestFit="1" customWidth="1"/>
    <col min="7" max="7" width="9.86328125" style="1" bestFit="1" customWidth="1"/>
    <col min="8" max="8" width="8.3984375" style="1" bestFit="1" customWidth="1"/>
    <col min="9" max="9" width="8" style="1" bestFit="1" customWidth="1"/>
    <col min="10" max="10" width="8.3984375" style="1" bestFit="1" customWidth="1"/>
    <col min="11" max="11" width="8" style="1" bestFit="1" customWidth="1"/>
    <col min="12" max="19" width="8.3984375" style="1" bestFit="1" customWidth="1"/>
    <col min="20" max="20" width="8.3984375" style="19" bestFit="1" customWidth="1"/>
    <col min="21" max="21" width="9.86328125" style="1" bestFit="1" customWidth="1"/>
    <col min="22" max="16384" width="8.86328125" style="1"/>
  </cols>
  <sheetData>
    <row r="1" spans="1:21" s="4" customFormat="1" x14ac:dyDescent="0.45">
      <c r="A1" s="4" t="s">
        <v>0</v>
      </c>
      <c r="C1" s="4" t="s">
        <v>6</v>
      </c>
      <c r="E1" s="4" t="s">
        <v>43</v>
      </c>
      <c r="F1" s="4" t="s">
        <v>22</v>
      </c>
      <c r="G1" s="4" t="s">
        <v>23</v>
      </c>
      <c r="H1" s="5">
        <v>46388</v>
      </c>
      <c r="I1" s="5">
        <v>46419</v>
      </c>
      <c r="J1" s="5">
        <v>46447</v>
      </c>
      <c r="K1" s="5">
        <v>46478</v>
      </c>
      <c r="L1" s="5">
        <v>46508</v>
      </c>
      <c r="M1" s="5">
        <v>46539</v>
      </c>
      <c r="N1" s="5">
        <v>46569</v>
      </c>
      <c r="O1" s="5">
        <v>46600</v>
      </c>
      <c r="P1" s="5">
        <v>46631</v>
      </c>
      <c r="Q1" s="5">
        <v>46661</v>
      </c>
      <c r="R1" s="5">
        <v>46692</v>
      </c>
      <c r="S1" s="5">
        <v>46722</v>
      </c>
      <c r="T1" s="17" t="s">
        <v>24</v>
      </c>
    </row>
    <row r="2" spans="1:21" s="2" customFormat="1" x14ac:dyDescent="0.45">
      <c r="A2" s="2">
        <v>1</v>
      </c>
      <c r="C2" s="2" t="s">
        <v>9</v>
      </c>
      <c r="T2" s="18"/>
    </row>
    <row r="3" spans="1:21" x14ac:dyDescent="0.45">
      <c r="T3" s="36">
        <f>G4</f>
        <v>40000</v>
      </c>
    </row>
    <row r="4" spans="1:21" x14ac:dyDescent="0.45">
      <c r="B4" s="1" t="s">
        <v>10</v>
      </c>
      <c r="C4" s="1" t="s">
        <v>42</v>
      </c>
      <c r="E4" s="1">
        <v>2</v>
      </c>
      <c r="F4" s="1">
        <v>20000</v>
      </c>
      <c r="G4" s="6">
        <f>F4*E4</f>
        <v>40000</v>
      </c>
      <c r="T4" s="37"/>
    </row>
    <row r="5" spans="1:21" x14ac:dyDescent="0.45">
      <c r="G5" s="6"/>
      <c r="T5" s="37"/>
    </row>
    <row r="6" spans="1:21" x14ac:dyDescent="0.45"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37"/>
      <c r="U6" s="6"/>
    </row>
    <row r="7" spans="1:21" s="2" customFormat="1" x14ac:dyDescent="0.45">
      <c r="A7" s="2">
        <v>2</v>
      </c>
      <c r="C7" s="2" t="s">
        <v>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21"/>
      <c r="U7" s="14"/>
    </row>
    <row r="8" spans="1:21" ht="14.65" thickBot="1" x14ac:dyDescent="0.5"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0"/>
      <c r="U8" s="6"/>
    </row>
    <row r="9" spans="1:21" ht="14.65" thickBot="1" x14ac:dyDescent="0.5">
      <c r="B9" s="11" t="s">
        <v>10</v>
      </c>
      <c r="C9" s="27" t="s">
        <v>44</v>
      </c>
      <c r="F9" s="6">
        <v>5000</v>
      </c>
      <c r="G9" s="6">
        <f>F9</f>
        <v>5000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20">
        <f>G9</f>
        <v>5000</v>
      </c>
      <c r="U9" s="6"/>
    </row>
    <row r="10" spans="1:21" x14ac:dyDescent="0.45">
      <c r="B10" s="9"/>
      <c r="C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20"/>
      <c r="U10" s="6"/>
    </row>
    <row r="11" spans="1:21" ht="14.65" thickBot="1" x14ac:dyDescent="0.5"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0"/>
      <c r="U11" s="6"/>
    </row>
    <row r="12" spans="1:21" ht="14.65" thickBot="1" x14ac:dyDescent="0.5">
      <c r="B12" s="11" t="s">
        <v>37</v>
      </c>
      <c r="C12" s="12" t="s">
        <v>13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35">
        <f>SUM(G13:R14)</f>
        <v>110000</v>
      </c>
      <c r="U12" s="6"/>
    </row>
    <row r="13" spans="1:21" x14ac:dyDescent="0.45">
      <c r="D13" s="1" t="s">
        <v>27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35"/>
      <c r="U13" s="6"/>
    </row>
    <row r="14" spans="1:21" x14ac:dyDescent="0.45">
      <c r="D14" s="1" t="s">
        <v>26</v>
      </c>
      <c r="F14" s="6"/>
      <c r="G14" s="6"/>
      <c r="H14" s="6">
        <v>30000</v>
      </c>
      <c r="J14" s="6">
        <v>30000</v>
      </c>
      <c r="K14" s="6"/>
      <c r="L14" s="6"/>
      <c r="M14" s="6"/>
      <c r="N14" s="6">
        <v>50000</v>
      </c>
      <c r="O14" s="6"/>
      <c r="P14" s="6"/>
      <c r="Q14" s="6"/>
      <c r="R14" s="6"/>
      <c r="S14" s="6"/>
      <c r="T14" s="20"/>
      <c r="U14" s="6"/>
    </row>
    <row r="15" spans="1:21" x14ac:dyDescent="0.45"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20"/>
      <c r="U15" s="6"/>
    </row>
    <row r="16" spans="1:21" x14ac:dyDescent="0.45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20"/>
      <c r="U16" s="8">
        <f>SUM(T9:T15)</f>
        <v>115000</v>
      </c>
    </row>
    <row r="17" spans="1:21" s="2" customFormat="1" x14ac:dyDescent="0.45">
      <c r="A17" s="2">
        <v>3</v>
      </c>
      <c r="C17" s="2" t="s">
        <v>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1"/>
      <c r="U17" s="14"/>
    </row>
    <row r="18" spans="1:21" ht="14.65" thickBot="1" x14ac:dyDescent="0.5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0"/>
      <c r="U18" s="6"/>
    </row>
    <row r="19" spans="1:21" ht="14.65" thickBot="1" x14ac:dyDescent="0.5">
      <c r="B19" s="11" t="s">
        <v>10</v>
      </c>
      <c r="C19" s="27" t="s">
        <v>12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20"/>
      <c r="U19" s="6"/>
    </row>
    <row r="20" spans="1:21" x14ac:dyDescent="0.45">
      <c r="D20" s="1" t="s">
        <v>19</v>
      </c>
      <c r="F20" s="6"/>
      <c r="G20" s="6"/>
      <c r="H20" s="6">
        <v>15000</v>
      </c>
      <c r="I20" s="6">
        <v>15000</v>
      </c>
      <c r="J20" s="6">
        <v>15000</v>
      </c>
      <c r="K20" s="6">
        <v>15000</v>
      </c>
      <c r="L20" s="6">
        <v>15000</v>
      </c>
      <c r="M20" s="6">
        <v>15000</v>
      </c>
      <c r="N20" s="6">
        <v>15000</v>
      </c>
      <c r="O20" s="6">
        <v>15000</v>
      </c>
      <c r="P20" s="6">
        <v>15000</v>
      </c>
      <c r="Q20" s="6">
        <v>15000</v>
      </c>
      <c r="R20" s="6">
        <v>15000</v>
      </c>
      <c r="S20" s="6">
        <v>15000</v>
      </c>
      <c r="T20" s="20">
        <f>SUM(H20:S20)</f>
        <v>180000</v>
      </c>
      <c r="U20" s="34">
        <f>T20+T21+T22+T23</f>
        <v>348000</v>
      </c>
    </row>
    <row r="21" spans="1:21" x14ac:dyDescent="0.45">
      <c r="D21" s="1" t="s">
        <v>40</v>
      </c>
      <c r="F21" s="6"/>
      <c r="G21" s="6"/>
      <c r="H21" s="6">
        <v>4000</v>
      </c>
      <c r="I21" s="6">
        <v>4000</v>
      </c>
      <c r="J21" s="6">
        <v>4000</v>
      </c>
      <c r="K21" s="6">
        <v>4000</v>
      </c>
      <c r="L21" s="6">
        <v>4000</v>
      </c>
      <c r="M21" s="6">
        <v>4000</v>
      </c>
      <c r="N21" s="6">
        <v>4000</v>
      </c>
      <c r="O21" s="6">
        <v>4000</v>
      </c>
      <c r="P21" s="6">
        <v>4000</v>
      </c>
      <c r="Q21" s="6">
        <v>4000</v>
      </c>
      <c r="R21" s="6">
        <v>4000</v>
      </c>
      <c r="S21" s="6">
        <v>4000</v>
      </c>
      <c r="T21" s="20">
        <f t="shared" ref="T21:T23" si="0">SUM(H21:S21)</f>
        <v>48000</v>
      </c>
      <c r="U21" s="34"/>
    </row>
    <row r="22" spans="1:21" x14ac:dyDescent="0.45">
      <c r="D22" s="1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20">
        <f>SUM(H22:S22)</f>
        <v>0</v>
      </c>
      <c r="U22" s="34"/>
    </row>
    <row r="23" spans="1:21" x14ac:dyDescent="0.45">
      <c r="D23" s="1" t="s">
        <v>45</v>
      </c>
      <c r="F23" s="6"/>
      <c r="G23" s="32"/>
      <c r="H23" s="6">
        <v>10000</v>
      </c>
      <c r="I23" s="6">
        <f t="shared" ref="I23:S23" si="1">H23</f>
        <v>10000</v>
      </c>
      <c r="J23" s="6">
        <f t="shared" si="1"/>
        <v>10000</v>
      </c>
      <c r="K23" s="6">
        <f t="shared" si="1"/>
        <v>10000</v>
      </c>
      <c r="L23" s="6">
        <f t="shared" si="1"/>
        <v>10000</v>
      </c>
      <c r="M23" s="6">
        <f t="shared" si="1"/>
        <v>10000</v>
      </c>
      <c r="N23" s="6">
        <f t="shared" si="1"/>
        <v>10000</v>
      </c>
      <c r="O23" s="6">
        <f t="shared" si="1"/>
        <v>10000</v>
      </c>
      <c r="P23" s="6">
        <f t="shared" si="1"/>
        <v>10000</v>
      </c>
      <c r="Q23" s="6">
        <f t="shared" si="1"/>
        <v>10000</v>
      </c>
      <c r="R23" s="6">
        <f t="shared" si="1"/>
        <v>10000</v>
      </c>
      <c r="S23" s="6">
        <f t="shared" si="1"/>
        <v>10000</v>
      </c>
      <c r="T23" s="20">
        <f t="shared" si="0"/>
        <v>120000</v>
      </c>
      <c r="U23" s="34"/>
    </row>
    <row r="24" spans="1:21" ht="14.65" thickBot="1" x14ac:dyDescent="0.5"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20"/>
      <c r="U24" s="6"/>
    </row>
    <row r="25" spans="1:21" ht="14.65" thickBot="1" x14ac:dyDescent="0.5">
      <c r="B25" s="11" t="s">
        <v>11</v>
      </c>
      <c r="C25" s="12" t="s">
        <v>14</v>
      </c>
      <c r="F25" s="6"/>
      <c r="G25" s="6"/>
      <c r="H25" s="6">
        <v>15000</v>
      </c>
      <c r="I25" s="6">
        <v>15000</v>
      </c>
      <c r="J25" s="6">
        <v>15000</v>
      </c>
      <c r="K25" s="6">
        <v>15000</v>
      </c>
      <c r="L25" s="6">
        <v>15000</v>
      </c>
      <c r="M25" s="6">
        <v>15000</v>
      </c>
      <c r="N25" s="6">
        <v>15000</v>
      </c>
      <c r="O25" s="6">
        <v>15000</v>
      </c>
      <c r="P25" s="6">
        <v>15000</v>
      </c>
      <c r="Q25" s="6">
        <v>15000</v>
      </c>
      <c r="R25" s="6">
        <v>15000</v>
      </c>
      <c r="S25" s="6">
        <v>15000</v>
      </c>
      <c r="T25" s="20">
        <f ca="1">SUM(H25:T25)</f>
        <v>240000</v>
      </c>
    </row>
    <row r="26" spans="1:21" x14ac:dyDescent="0.45">
      <c r="F26" s="3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20"/>
      <c r="U26" s="6"/>
    </row>
    <row r="27" spans="1:21" ht="14.65" thickBot="1" x14ac:dyDescent="0.5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20"/>
      <c r="U27" s="6"/>
    </row>
    <row r="28" spans="1:21" ht="14.65" thickBot="1" x14ac:dyDescent="0.5">
      <c r="B28" s="11" t="s">
        <v>15</v>
      </c>
      <c r="C28" s="7" t="s">
        <v>32</v>
      </c>
      <c r="D28" s="24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6"/>
      <c r="S28" s="6"/>
      <c r="T28" s="20"/>
      <c r="U28" s="6"/>
    </row>
    <row r="29" spans="1:21" x14ac:dyDescent="0.45">
      <c r="D29" s="26" t="s">
        <v>33</v>
      </c>
      <c r="E29" s="26"/>
      <c r="H29" s="25">
        <v>5000</v>
      </c>
      <c r="I29" s="25">
        <v>5000</v>
      </c>
      <c r="J29" s="25">
        <v>5000</v>
      </c>
      <c r="K29" s="25">
        <v>5000</v>
      </c>
      <c r="L29" s="25">
        <v>5000</v>
      </c>
      <c r="M29" s="25">
        <v>5000</v>
      </c>
      <c r="N29" s="25">
        <v>5000</v>
      </c>
      <c r="O29" s="25">
        <v>5000</v>
      </c>
      <c r="P29" s="25">
        <v>5000</v>
      </c>
      <c r="Q29" s="25">
        <v>5000</v>
      </c>
      <c r="R29" s="25">
        <v>5000</v>
      </c>
      <c r="S29" s="25">
        <v>5000</v>
      </c>
      <c r="T29" s="20">
        <f>SUM(H29:S29)</f>
        <v>60000</v>
      </c>
      <c r="U29" s="6"/>
    </row>
    <row r="30" spans="1:21" x14ac:dyDescent="0.45">
      <c r="D30" s="26" t="s">
        <v>34</v>
      </c>
      <c r="E30" s="26"/>
      <c r="H30" s="25">
        <v>50</v>
      </c>
      <c r="I30" s="25">
        <v>50</v>
      </c>
      <c r="J30" s="25">
        <v>50</v>
      </c>
      <c r="K30" s="25">
        <v>50</v>
      </c>
      <c r="L30" s="25">
        <v>50</v>
      </c>
      <c r="M30" s="25">
        <v>50</v>
      </c>
      <c r="N30" s="25">
        <v>50</v>
      </c>
      <c r="O30" s="25">
        <v>50</v>
      </c>
      <c r="P30" s="25">
        <v>50</v>
      </c>
      <c r="Q30" s="25">
        <v>50</v>
      </c>
      <c r="R30" s="25">
        <v>50</v>
      </c>
      <c r="S30" s="25">
        <v>50</v>
      </c>
      <c r="T30" s="20">
        <f t="shared" ref="T30:T32" si="2">SUM(H30:S30)</f>
        <v>600</v>
      </c>
      <c r="U30" s="6"/>
    </row>
    <row r="31" spans="1:21" x14ac:dyDescent="0.45">
      <c r="D31" s="26" t="s">
        <v>35</v>
      </c>
      <c r="E31" s="26"/>
      <c r="H31" s="25">
        <v>400</v>
      </c>
      <c r="I31" s="25">
        <v>400</v>
      </c>
      <c r="J31" s="25">
        <v>400</v>
      </c>
      <c r="K31" s="25">
        <v>400</v>
      </c>
      <c r="L31" s="25">
        <v>400</v>
      </c>
      <c r="M31" s="25">
        <v>400</v>
      </c>
      <c r="N31" s="25">
        <v>400</v>
      </c>
      <c r="O31" s="25">
        <v>400</v>
      </c>
      <c r="P31" s="25">
        <v>400</v>
      </c>
      <c r="Q31" s="25">
        <v>400</v>
      </c>
      <c r="R31" s="25">
        <v>400</v>
      </c>
      <c r="S31" s="25">
        <v>400</v>
      </c>
      <c r="T31" s="20">
        <f t="shared" si="2"/>
        <v>4800</v>
      </c>
      <c r="U31" s="6"/>
    </row>
    <row r="32" spans="1:21" x14ac:dyDescent="0.45">
      <c r="D32" s="26" t="s">
        <v>36</v>
      </c>
      <c r="E32" s="26"/>
      <c r="H32" s="25">
        <v>110.4</v>
      </c>
      <c r="I32" s="25">
        <v>110.4</v>
      </c>
      <c r="J32" s="25">
        <v>110.4</v>
      </c>
      <c r="K32" s="25">
        <v>110.4</v>
      </c>
      <c r="L32" s="25">
        <v>110.4</v>
      </c>
      <c r="M32" s="25">
        <v>110.4</v>
      </c>
      <c r="N32" s="25">
        <v>110.4</v>
      </c>
      <c r="O32" s="25">
        <v>110.4</v>
      </c>
      <c r="P32" s="25">
        <v>110.4</v>
      </c>
      <c r="Q32" s="25">
        <v>110.4</v>
      </c>
      <c r="R32" s="25">
        <v>110.4</v>
      </c>
      <c r="S32" s="25">
        <v>110.4</v>
      </c>
      <c r="T32" s="20">
        <f t="shared" si="2"/>
        <v>1324.8000000000002</v>
      </c>
      <c r="U32" s="6"/>
    </row>
    <row r="33" spans="1:21" ht="14.65" thickBot="1" x14ac:dyDescent="0.5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20"/>
      <c r="U33" s="6"/>
    </row>
    <row r="34" spans="1:21" s="9" customFormat="1" ht="14.65" thickBot="1" x14ac:dyDescent="0.5">
      <c r="A34" s="33" t="s">
        <v>28</v>
      </c>
      <c r="B34" s="33"/>
      <c r="C34" s="33"/>
      <c r="D34" s="10"/>
      <c r="E34" s="10"/>
      <c r="F34" s="15"/>
      <c r="G34" s="15">
        <f>SUM(G4:G16)</f>
        <v>45000</v>
      </c>
      <c r="H34" s="15">
        <f>SUM(H6:H32)</f>
        <v>79560.399999999994</v>
      </c>
      <c r="I34" s="15">
        <f>SUM(I4:I32)</f>
        <v>49560.4</v>
      </c>
      <c r="J34" s="15">
        <f>SUM(J4:J32)</f>
        <v>79560.399999999994</v>
      </c>
      <c r="K34" s="15">
        <f>SUM(K4:K32)</f>
        <v>49560.4</v>
      </c>
      <c r="L34" s="15">
        <f>SUM(L4:L32)</f>
        <v>49560.4</v>
      </c>
      <c r="M34" s="15">
        <f>SUM(M4:M32)</f>
        <v>49560.4</v>
      </c>
      <c r="N34" s="15">
        <f>SUM(N4:N32)</f>
        <v>99560.4</v>
      </c>
      <c r="O34" s="15">
        <f>SUM(O4:O32)</f>
        <v>49560.4</v>
      </c>
      <c r="P34" s="15">
        <f>SUM(P4:P32)</f>
        <v>49560.4</v>
      </c>
      <c r="Q34" s="15">
        <f>SUM(Q4:Q32)</f>
        <v>49560.4</v>
      </c>
      <c r="R34" s="15">
        <f>SUM(R4:R32)</f>
        <v>49560.4</v>
      </c>
      <c r="S34" s="15">
        <f>SUM(S4:S32)</f>
        <v>49560.4</v>
      </c>
      <c r="T34" s="22"/>
      <c r="U34" s="16">
        <f>SUM(G34:T34)</f>
        <v>749724.80000000016</v>
      </c>
    </row>
    <row r="35" spans="1:21" x14ac:dyDescent="0.45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20"/>
      <c r="U35" s="6"/>
    </row>
    <row r="36" spans="1:21" ht="14.65" thickBot="1" x14ac:dyDescent="0.5"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20"/>
      <c r="U36" s="6"/>
    </row>
    <row r="37" spans="1:21" s="9" customFormat="1" ht="14.65" thickBot="1" x14ac:dyDescent="0.5">
      <c r="A37" s="33" t="s">
        <v>30</v>
      </c>
      <c r="B37" s="33"/>
      <c r="C37" s="33"/>
      <c r="D37" s="10"/>
      <c r="E37" s="10"/>
      <c r="F37" s="15"/>
      <c r="G37" s="15"/>
      <c r="H37" s="15">
        <v>35580</v>
      </c>
      <c r="I37" s="15">
        <f>H37</f>
        <v>35580</v>
      </c>
      <c r="J37" s="15">
        <f>I37</f>
        <v>35580</v>
      </c>
      <c r="K37" s="15">
        <v>71160</v>
      </c>
      <c r="L37" s="15">
        <f>K37</f>
        <v>71160</v>
      </c>
      <c r="M37" s="15">
        <f>L37</f>
        <v>71160</v>
      </c>
      <c r="N37" s="15">
        <v>106740</v>
      </c>
      <c r="O37" s="15">
        <f>N37</f>
        <v>106740</v>
      </c>
      <c r="P37" s="15">
        <f>O37</f>
        <v>106740</v>
      </c>
      <c r="Q37" s="15">
        <v>142320</v>
      </c>
      <c r="R37" s="15">
        <f>Q37</f>
        <v>142320</v>
      </c>
      <c r="S37" s="15">
        <f>R37</f>
        <v>142320</v>
      </c>
      <c r="T37" s="22"/>
      <c r="U37" s="16">
        <f>SUM(H37:S37)</f>
        <v>1067400</v>
      </c>
    </row>
    <row r="38" spans="1:21" x14ac:dyDescent="0.45"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20"/>
      <c r="U38" s="6"/>
    </row>
    <row r="39" spans="1:21" ht="14.65" thickBot="1" x14ac:dyDescent="0.5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20"/>
      <c r="U39" s="6"/>
    </row>
    <row r="40" spans="1:21" ht="14.65" thickBot="1" x14ac:dyDescent="0.5">
      <c r="A40" s="33" t="s">
        <v>31</v>
      </c>
      <c r="B40" s="33"/>
      <c r="C40" s="33"/>
      <c r="D40" s="10"/>
      <c r="E40" s="10"/>
      <c r="F40" s="15"/>
      <c r="G40" s="15"/>
      <c r="H40" s="15">
        <f>H37-H34</f>
        <v>-43980.399999999994</v>
      </c>
      <c r="I40" s="15">
        <f>I37-I34</f>
        <v>-13980.400000000001</v>
      </c>
      <c r="J40" s="15">
        <f>J37-J34</f>
        <v>-43980.399999999994</v>
      </c>
      <c r="K40" s="15">
        <f>K37-K34</f>
        <v>21599.599999999999</v>
      </c>
      <c r="L40" s="15">
        <f>L37-L34</f>
        <v>21599.599999999999</v>
      </c>
      <c r="M40" s="15">
        <f>M37-M34</f>
        <v>21599.599999999999</v>
      </c>
      <c r="N40" s="15">
        <f t="shared" ref="N40:S40" si="3">N37-N34</f>
        <v>7179.6000000000058</v>
      </c>
      <c r="O40" s="15">
        <f t="shared" si="3"/>
        <v>57179.6</v>
      </c>
      <c r="P40" s="15">
        <f t="shared" si="3"/>
        <v>57179.6</v>
      </c>
      <c r="Q40" s="15">
        <f t="shared" si="3"/>
        <v>92759.6</v>
      </c>
      <c r="R40" s="15">
        <f t="shared" si="3"/>
        <v>92759.6</v>
      </c>
      <c r="S40" s="15">
        <f t="shared" si="3"/>
        <v>92759.6</v>
      </c>
      <c r="T40" s="22"/>
      <c r="U40" s="16">
        <f>U37-U34</f>
        <v>317675.19999999984</v>
      </c>
    </row>
    <row r="43" spans="1:21" x14ac:dyDescent="0.45">
      <c r="T43" s="23"/>
    </row>
    <row r="46" spans="1:21" x14ac:dyDescent="0.45">
      <c r="C46" s="1" t="s">
        <v>38</v>
      </c>
      <c r="D46" s="28">
        <f>SUM(G34:J34)</f>
        <v>253681.19999999998</v>
      </c>
      <c r="E46" s="28"/>
    </row>
    <row r="48" spans="1:21" x14ac:dyDescent="0.45">
      <c r="C48" s="1" t="s">
        <v>39</v>
      </c>
      <c r="D48" s="29">
        <f>U40/U34</f>
        <v>0.42372241121008636</v>
      </c>
      <c r="E48" s="29"/>
    </row>
    <row r="52" spans="4:5" x14ac:dyDescent="0.45">
      <c r="D52" s="6"/>
      <c r="E52" s="6"/>
    </row>
    <row r="53" spans="4:5" x14ac:dyDescent="0.45">
      <c r="D53" s="30"/>
      <c r="E53" s="30"/>
    </row>
    <row r="54" spans="4:5" x14ac:dyDescent="0.45">
      <c r="D54" s="28"/>
      <c r="E54" s="28"/>
    </row>
  </sheetData>
  <mergeCells count="6">
    <mergeCell ref="T3:T6"/>
    <mergeCell ref="T12:T13"/>
    <mergeCell ref="A40:C40"/>
    <mergeCell ref="A34:C34"/>
    <mergeCell ref="A37:C37"/>
    <mergeCell ref="U20:U2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DD0F-D5F5-46CE-B444-48C3A80A6C83}">
  <dimension ref="A1:U55"/>
  <sheetViews>
    <sheetView tabSelected="1" topLeftCell="A14" workbookViewId="0">
      <selection activeCell="Q39" sqref="Q39"/>
    </sheetView>
  </sheetViews>
  <sheetFormatPr defaultColWidth="8.86328125" defaultRowHeight="14.25" x14ac:dyDescent="0.45"/>
  <cols>
    <col min="1" max="1" width="3.73046875" style="1" bestFit="1" customWidth="1"/>
    <col min="2" max="2" width="1.73046875" style="1" bestFit="1" customWidth="1"/>
    <col min="3" max="3" width="25" style="1" bestFit="1" customWidth="1"/>
    <col min="4" max="4" width="22.265625" style="1" bestFit="1" customWidth="1"/>
    <col min="5" max="5" width="7.6640625" style="1" customWidth="1"/>
    <col min="6" max="6" width="7.3984375" style="1" bestFit="1" customWidth="1"/>
    <col min="7" max="7" width="9.86328125" style="1" bestFit="1" customWidth="1"/>
    <col min="8" max="19" width="8.3984375" style="1" bestFit="1" customWidth="1"/>
    <col min="20" max="20" width="8.3984375" style="19" bestFit="1" customWidth="1"/>
    <col min="21" max="21" width="9.86328125" style="1" bestFit="1" customWidth="1"/>
    <col min="22" max="16384" width="8.86328125" style="1"/>
  </cols>
  <sheetData>
    <row r="1" spans="1:21" s="4" customFormat="1" x14ac:dyDescent="0.45">
      <c r="A1" s="4" t="s">
        <v>0</v>
      </c>
      <c r="C1" s="4" t="s">
        <v>6</v>
      </c>
      <c r="E1" s="4" t="s">
        <v>43</v>
      </c>
      <c r="F1" s="4" t="s">
        <v>22</v>
      </c>
      <c r="G1" s="4" t="s">
        <v>23</v>
      </c>
      <c r="H1" s="5">
        <v>46388</v>
      </c>
      <c r="I1" s="5">
        <v>46419</v>
      </c>
      <c r="J1" s="5">
        <v>46447</v>
      </c>
      <c r="K1" s="5">
        <v>46478</v>
      </c>
      <c r="L1" s="5">
        <v>46508</v>
      </c>
      <c r="M1" s="5">
        <v>46539</v>
      </c>
      <c r="N1" s="5">
        <v>46569</v>
      </c>
      <c r="O1" s="5">
        <v>46600</v>
      </c>
      <c r="P1" s="5">
        <v>46631</v>
      </c>
      <c r="Q1" s="5">
        <v>46661</v>
      </c>
      <c r="R1" s="5">
        <v>46692</v>
      </c>
      <c r="S1" s="5">
        <v>46722</v>
      </c>
      <c r="T1" s="17" t="s">
        <v>24</v>
      </c>
    </row>
    <row r="2" spans="1:21" s="2" customFormat="1" x14ac:dyDescent="0.45">
      <c r="A2" s="2">
        <v>1</v>
      </c>
      <c r="C2" s="2" t="s">
        <v>9</v>
      </c>
      <c r="T2" s="18"/>
    </row>
    <row r="3" spans="1:21" x14ac:dyDescent="0.45">
      <c r="T3" s="36">
        <f>G4</f>
        <v>20000</v>
      </c>
    </row>
    <row r="4" spans="1:21" x14ac:dyDescent="0.45">
      <c r="B4" s="1" t="s">
        <v>10</v>
      </c>
      <c r="C4" s="1" t="s">
        <v>42</v>
      </c>
      <c r="D4" s="1" t="s">
        <v>64</v>
      </c>
      <c r="E4" s="1">
        <v>1</v>
      </c>
      <c r="F4" s="1">
        <v>20000</v>
      </c>
      <c r="G4" s="6">
        <f>F4*E4</f>
        <v>20000</v>
      </c>
      <c r="T4" s="37"/>
    </row>
    <row r="5" spans="1:21" x14ac:dyDescent="0.45">
      <c r="G5" s="6"/>
      <c r="T5" s="37"/>
    </row>
    <row r="6" spans="1:21" x14ac:dyDescent="0.45"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37"/>
      <c r="U6" s="6"/>
    </row>
    <row r="7" spans="1:21" s="2" customFormat="1" x14ac:dyDescent="0.45">
      <c r="A7" s="2">
        <v>2</v>
      </c>
      <c r="C7" s="2" t="s">
        <v>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21"/>
      <c r="U7" s="14"/>
    </row>
    <row r="8" spans="1:21" ht="14.65" thickBot="1" x14ac:dyDescent="0.5"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0"/>
      <c r="U8" s="6"/>
    </row>
    <row r="9" spans="1:21" ht="14.65" thickBot="1" x14ac:dyDescent="0.5">
      <c r="B9" s="11" t="s">
        <v>10</v>
      </c>
      <c r="C9" s="27" t="s">
        <v>44</v>
      </c>
      <c r="F9" s="6"/>
      <c r="G9" s="6">
        <f>F9</f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20">
        <f>G9</f>
        <v>0</v>
      </c>
      <c r="U9" s="6"/>
    </row>
    <row r="10" spans="1:21" x14ac:dyDescent="0.45">
      <c r="B10" s="9"/>
      <c r="C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20"/>
      <c r="U10" s="6"/>
    </row>
    <row r="11" spans="1:21" ht="14.65" thickBot="1" x14ac:dyDescent="0.5"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0"/>
      <c r="U11" s="6"/>
    </row>
    <row r="12" spans="1:21" ht="14.65" thickBot="1" x14ac:dyDescent="0.5">
      <c r="B12" s="11" t="s">
        <v>37</v>
      </c>
      <c r="C12" s="12" t="s">
        <v>13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35">
        <f>SUM(G13:R14)</f>
        <v>250000</v>
      </c>
      <c r="U12" s="6"/>
    </row>
    <row r="13" spans="1:21" x14ac:dyDescent="0.45">
      <c r="D13" s="1" t="s">
        <v>27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35"/>
      <c r="U13" s="6"/>
    </row>
    <row r="14" spans="1:21" x14ac:dyDescent="0.45">
      <c r="D14" s="1" t="s">
        <v>26</v>
      </c>
      <c r="F14" s="6"/>
      <c r="G14" s="6"/>
      <c r="H14" s="6">
        <v>50000</v>
      </c>
      <c r="J14" s="6">
        <v>50000</v>
      </c>
      <c r="K14" s="6"/>
      <c r="L14" s="6">
        <v>50000</v>
      </c>
      <c r="M14" s="6"/>
      <c r="N14" s="6">
        <v>50000</v>
      </c>
      <c r="O14" s="6"/>
      <c r="P14" s="6">
        <v>50000</v>
      </c>
      <c r="Q14" s="6"/>
      <c r="R14" s="6"/>
      <c r="S14" s="6"/>
      <c r="T14" s="20"/>
      <c r="U14" s="6"/>
    </row>
    <row r="15" spans="1:21" x14ac:dyDescent="0.45"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20"/>
      <c r="U15" s="6"/>
    </row>
    <row r="16" spans="1:21" x14ac:dyDescent="0.45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20"/>
      <c r="U16" s="8">
        <f>SUM(T9:T15)</f>
        <v>250000</v>
      </c>
    </row>
    <row r="17" spans="1:21" s="2" customFormat="1" x14ac:dyDescent="0.45">
      <c r="A17" s="2">
        <v>3</v>
      </c>
      <c r="C17" s="2" t="s">
        <v>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1"/>
      <c r="U17" s="14"/>
    </row>
    <row r="18" spans="1:21" ht="14.65" thickBot="1" x14ac:dyDescent="0.5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0"/>
      <c r="U18" s="6"/>
    </row>
    <row r="19" spans="1:21" ht="14.65" thickBot="1" x14ac:dyDescent="0.5">
      <c r="B19" s="11" t="s">
        <v>10</v>
      </c>
      <c r="C19" s="27" t="s">
        <v>12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20"/>
      <c r="U19" s="6"/>
    </row>
    <row r="20" spans="1:21" x14ac:dyDescent="0.45">
      <c r="D20" s="1" t="s">
        <v>19</v>
      </c>
      <c r="F20" s="6"/>
      <c r="G20" s="6"/>
      <c r="H20" s="6">
        <v>17000</v>
      </c>
      <c r="I20" s="6">
        <v>17000</v>
      </c>
      <c r="J20" s="6">
        <v>17000</v>
      </c>
      <c r="K20" s="6">
        <v>17000</v>
      </c>
      <c r="L20" s="6">
        <v>17000</v>
      </c>
      <c r="M20" s="6">
        <v>17000</v>
      </c>
      <c r="N20" s="6">
        <v>17000</v>
      </c>
      <c r="O20" s="6">
        <v>17000</v>
      </c>
      <c r="P20" s="6">
        <v>17000</v>
      </c>
      <c r="Q20" s="6">
        <v>17000</v>
      </c>
      <c r="R20" s="6">
        <v>17000</v>
      </c>
      <c r="S20" s="6">
        <v>17000</v>
      </c>
      <c r="T20" s="20">
        <f>SUM(H20:S20)</f>
        <v>204000</v>
      </c>
      <c r="U20" s="34">
        <f>T20+T21+T22+T23</f>
        <v>408000</v>
      </c>
    </row>
    <row r="21" spans="1:21" x14ac:dyDescent="0.45">
      <c r="D21" s="1" t="s">
        <v>40</v>
      </c>
      <c r="F21" s="6"/>
      <c r="G21" s="6"/>
      <c r="H21" s="6">
        <v>5000</v>
      </c>
      <c r="I21" s="6">
        <v>5000</v>
      </c>
      <c r="J21" s="6">
        <v>5000</v>
      </c>
      <c r="K21" s="6">
        <v>5000</v>
      </c>
      <c r="L21" s="6">
        <v>5000</v>
      </c>
      <c r="M21" s="6">
        <v>5000</v>
      </c>
      <c r="N21" s="6">
        <v>5000</v>
      </c>
      <c r="O21" s="6">
        <v>5000</v>
      </c>
      <c r="P21" s="6">
        <v>5000</v>
      </c>
      <c r="Q21" s="6">
        <v>5000</v>
      </c>
      <c r="R21" s="6">
        <v>5000</v>
      </c>
      <c r="S21" s="6">
        <v>5000</v>
      </c>
      <c r="T21" s="20">
        <f t="shared" ref="T21:T23" si="0">SUM(H21:S21)</f>
        <v>60000</v>
      </c>
      <c r="U21" s="34"/>
    </row>
    <row r="22" spans="1:21" x14ac:dyDescent="0.45">
      <c r="D22" s="1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20">
        <f>SUM(H22:S22)</f>
        <v>0</v>
      </c>
      <c r="U22" s="34"/>
    </row>
    <row r="23" spans="1:21" x14ac:dyDescent="0.45">
      <c r="D23" s="1" t="s">
        <v>45</v>
      </c>
      <c r="F23" s="6"/>
      <c r="G23" s="32"/>
      <c r="H23" s="6">
        <v>12000</v>
      </c>
      <c r="I23" s="6">
        <f t="shared" ref="I23:S23" si="1">H23</f>
        <v>12000</v>
      </c>
      <c r="J23" s="6">
        <f t="shared" si="1"/>
        <v>12000</v>
      </c>
      <c r="K23" s="6">
        <f t="shared" si="1"/>
        <v>12000</v>
      </c>
      <c r="L23" s="6">
        <f t="shared" si="1"/>
        <v>12000</v>
      </c>
      <c r="M23" s="6">
        <f t="shared" si="1"/>
        <v>12000</v>
      </c>
      <c r="N23" s="6">
        <f t="shared" si="1"/>
        <v>12000</v>
      </c>
      <c r="O23" s="6">
        <f t="shared" si="1"/>
        <v>12000</v>
      </c>
      <c r="P23" s="6">
        <f t="shared" si="1"/>
        <v>12000</v>
      </c>
      <c r="Q23" s="6">
        <f t="shared" si="1"/>
        <v>12000</v>
      </c>
      <c r="R23" s="6">
        <f t="shared" si="1"/>
        <v>12000</v>
      </c>
      <c r="S23" s="6">
        <f t="shared" si="1"/>
        <v>12000</v>
      </c>
      <c r="T23" s="20">
        <f t="shared" si="0"/>
        <v>144000</v>
      </c>
      <c r="U23" s="34"/>
    </row>
    <row r="24" spans="1:21" x14ac:dyDescent="0.45">
      <c r="D24" s="1" t="s">
        <v>63</v>
      </c>
      <c r="F24" s="6"/>
      <c r="G24" s="6"/>
      <c r="H24" s="6">
        <v>10000</v>
      </c>
      <c r="I24" s="6">
        <f t="shared" ref="I24" si="2">H24</f>
        <v>10000</v>
      </c>
      <c r="J24" s="6">
        <f t="shared" ref="J24" si="3">I24</f>
        <v>10000</v>
      </c>
      <c r="K24" s="6">
        <f t="shared" ref="K24" si="4">J24</f>
        <v>10000</v>
      </c>
      <c r="L24" s="6">
        <f t="shared" ref="L24" si="5">K24</f>
        <v>10000</v>
      </c>
      <c r="M24" s="6">
        <f t="shared" ref="M24" si="6">L24</f>
        <v>10000</v>
      </c>
      <c r="N24" s="6">
        <f t="shared" ref="N24" si="7">M24</f>
        <v>10000</v>
      </c>
      <c r="O24" s="6">
        <f t="shared" ref="O24" si="8">N24</f>
        <v>10000</v>
      </c>
      <c r="P24" s="6">
        <f t="shared" ref="P24" si="9">O24</f>
        <v>10000</v>
      </c>
      <c r="Q24" s="6">
        <f t="shared" ref="Q24" si="10">P24</f>
        <v>10000</v>
      </c>
      <c r="R24" s="6">
        <f t="shared" ref="R24" si="11">Q24</f>
        <v>10000</v>
      </c>
      <c r="S24" s="6">
        <f t="shared" ref="S24" si="12">R24</f>
        <v>10000</v>
      </c>
      <c r="T24" s="20"/>
      <c r="U24" s="6"/>
    </row>
    <row r="25" spans="1:21" ht="14.65" thickBot="1" x14ac:dyDescent="0.5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20"/>
      <c r="U25" s="6"/>
    </row>
    <row r="26" spans="1:21" ht="14.65" thickBot="1" x14ac:dyDescent="0.5">
      <c r="B26" s="11" t="s">
        <v>11</v>
      </c>
      <c r="C26" s="12" t="s">
        <v>14</v>
      </c>
      <c r="F26" s="6"/>
      <c r="G26" s="6"/>
      <c r="H26" s="6">
        <v>17000</v>
      </c>
      <c r="I26" s="6">
        <v>17000</v>
      </c>
      <c r="J26" s="6">
        <v>17000</v>
      </c>
      <c r="K26" s="6">
        <v>17000</v>
      </c>
      <c r="L26" s="6">
        <v>17000</v>
      </c>
      <c r="M26" s="6">
        <v>17000</v>
      </c>
      <c r="N26" s="6">
        <v>17000</v>
      </c>
      <c r="O26" s="6">
        <v>17000</v>
      </c>
      <c r="P26" s="6">
        <v>17000</v>
      </c>
      <c r="Q26" s="6">
        <v>17000</v>
      </c>
      <c r="R26" s="6">
        <v>17000</v>
      </c>
      <c r="S26" s="6">
        <v>17000</v>
      </c>
      <c r="T26" s="20">
        <f ca="1">SUM(H26:T26)</f>
        <v>240000</v>
      </c>
    </row>
    <row r="27" spans="1:21" x14ac:dyDescent="0.45">
      <c r="F27" s="3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20"/>
      <c r="U27" s="6"/>
    </row>
    <row r="28" spans="1:21" ht="14.65" thickBot="1" x14ac:dyDescent="0.5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20"/>
      <c r="U28" s="6"/>
    </row>
    <row r="29" spans="1:21" ht="14.65" thickBot="1" x14ac:dyDescent="0.5">
      <c r="B29" s="11" t="s">
        <v>15</v>
      </c>
      <c r="C29" s="7" t="s">
        <v>32</v>
      </c>
      <c r="D29" s="24"/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6"/>
      <c r="S29" s="6"/>
      <c r="T29" s="20"/>
      <c r="U29" s="6"/>
    </row>
    <row r="30" spans="1:21" x14ac:dyDescent="0.45">
      <c r="D30" s="26" t="s">
        <v>33</v>
      </c>
      <c r="E30" s="26"/>
      <c r="H30" s="25">
        <v>10000</v>
      </c>
      <c r="I30" s="25">
        <v>10000</v>
      </c>
      <c r="J30" s="25">
        <v>10000</v>
      </c>
      <c r="K30" s="25">
        <v>10000</v>
      </c>
      <c r="L30" s="25">
        <v>10000</v>
      </c>
      <c r="M30" s="25">
        <v>10000</v>
      </c>
      <c r="N30" s="25">
        <v>10000</v>
      </c>
      <c r="O30" s="25">
        <v>10000</v>
      </c>
      <c r="P30" s="25">
        <v>10000</v>
      </c>
      <c r="Q30" s="25">
        <v>10000</v>
      </c>
      <c r="R30" s="25">
        <v>10000</v>
      </c>
      <c r="S30" s="25">
        <v>10000</v>
      </c>
      <c r="T30" s="20">
        <f>SUM(H30:S30)</f>
        <v>120000</v>
      </c>
      <c r="U30" s="6"/>
    </row>
    <row r="31" spans="1:21" x14ac:dyDescent="0.45">
      <c r="D31" s="26" t="s">
        <v>34</v>
      </c>
      <c r="E31" s="26"/>
      <c r="H31" s="25">
        <v>50</v>
      </c>
      <c r="I31" s="25">
        <v>50</v>
      </c>
      <c r="J31" s="25">
        <v>50</v>
      </c>
      <c r="K31" s="25">
        <v>50</v>
      </c>
      <c r="L31" s="25">
        <v>50</v>
      </c>
      <c r="M31" s="25">
        <v>50</v>
      </c>
      <c r="N31" s="25">
        <v>50</v>
      </c>
      <c r="O31" s="25">
        <v>50</v>
      </c>
      <c r="P31" s="25">
        <v>50</v>
      </c>
      <c r="Q31" s="25">
        <v>50</v>
      </c>
      <c r="R31" s="25">
        <v>50</v>
      </c>
      <c r="S31" s="25">
        <v>50</v>
      </c>
      <c r="T31" s="20">
        <f t="shared" ref="T31:T33" si="13">SUM(H31:S31)</f>
        <v>600</v>
      </c>
      <c r="U31" s="6"/>
    </row>
    <row r="32" spans="1:21" x14ac:dyDescent="0.45">
      <c r="D32" s="26" t="s">
        <v>35</v>
      </c>
      <c r="E32" s="26"/>
      <c r="H32" s="25">
        <v>400</v>
      </c>
      <c r="I32" s="25">
        <v>400</v>
      </c>
      <c r="J32" s="25">
        <v>400</v>
      </c>
      <c r="K32" s="25">
        <v>400</v>
      </c>
      <c r="L32" s="25">
        <v>400</v>
      </c>
      <c r="M32" s="25">
        <v>400</v>
      </c>
      <c r="N32" s="25">
        <v>400</v>
      </c>
      <c r="O32" s="25">
        <v>400</v>
      </c>
      <c r="P32" s="25">
        <v>400</v>
      </c>
      <c r="Q32" s="25">
        <v>400</v>
      </c>
      <c r="R32" s="25">
        <v>400</v>
      </c>
      <c r="S32" s="25">
        <v>400</v>
      </c>
      <c r="T32" s="20">
        <f t="shared" si="13"/>
        <v>4800</v>
      </c>
      <c r="U32" s="6"/>
    </row>
    <row r="33" spans="1:21" x14ac:dyDescent="0.45">
      <c r="D33" s="26" t="s">
        <v>36</v>
      </c>
      <c r="E33" s="26"/>
      <c r="H33" s="25">
        <v>110.4</v>
      </c>
      <c r="I33" s="25">
        <v>110.4</v>
      </c>
      <c r="J33" s="25">
        <v>110.4</v>
      </c>
      <c r="K33" s="25">
        <v>110.4</v>
      </c>
      <c r="L33" s="25">
        <v>110.4</v>
      </c>
      <c r="M33" s="25">
        <v>110.4</v>
      </c>
      <c r="N33" s="25">
        <v>110.4</v>
      </c>
      <c r="O33" s="25">
        <v>110.4</v>
      </c>
      <c r="P33" s="25">
        <v>110.4</v>
      </c>
      <c r="Q33" s="25">
        <v>110.4</v>
      </c>
      <c r="R33" s="25">
        <v>110.4</v>
      </c>
      <c r="S33" s="25">
        <v>110.4</v>
      </c>
      <c r="T33" s="20">
        <f t="shared" si="13"/>
        <v>1324.8000000000002</v>
      </c>
      <c r="U33" s="6"/>
    </row>
    <row r="34" spans="1:21" ht="14.65" thickBot="1" x14ac:dyDescent="0.5"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20"/>
      <c r="U34" s="6"/>
    </row>
    <row r="35" spans="1:21" s="9" customFormat="1" ht="14.65" thickBot="1" x14ac:dyDescent="0.5">
      <c r="A35" s="33" t="s">
        <v>28</v>
      </c>
      <c r="B35" s="33"/>
      <c r="C35" s="33"/>
      <c r="D35" s="10"/>
      <c r="E35" s="10"/>
      <c r="F35" s="15"/>
      <c r="G35" s="15">
        <f>SUM(G4:G16)</f>
        <v>20000</v>
      </c>
      <c r="H35" s="15">
        <f>SUM(H6:H33)</f>
        <v>121560.4</v>
      </c>
      <c r="I35" s="15">
        <f>SUM(I4:I33)</f>
        <v>71560.399999999994</v>
      </c>
      <c r="J35" s="15">
        <f>SUM(J4:J33)</f>
        <v>121560.4</v>
      </c>
      <c r="K35" s="15">
        <f>SUM(K4:K33)</f>
        <v>71560.399999999994</v>
      </c>
      <c r="L35" s="15">
        <f>SUM(L4:L33)</f>
        <v>121560.4</v>
      </c>
      <c r="M35" s="15">
        <f>SUM(M4:M33)</f>
        <v>71560.399999999994</v>
      </c>
      <c r="N35" s="15">
        <f>SUM(N4:N33)</f>
        <v>121560.4</v>
      </c>
      <c r="O35" s="15">
        <f>SUM(O4:O33)</f>
        <v>71560.399999999994</v>
      </c>
      <c r="P35" s="15">
        <f>SUM(P4:P33)</f>
        <v>121560.4</v>
      </c>
      <c r="Q35" s="15">
        <f>SUM(Q4:Q33)</f>
        <v>71560.399999999994</v>
      </c>
      <c r="R35" s="15">
        <f>SUM(R4:R33)</f>
        <v>71560.399999999994</v>
      </c>
      <c r="S35" s="15">
        <f>SUM(S4:S33)</f>
        <v>71560.399999999994</v>
      </c>
      <c r="T35" s="22"/>
      <c r="U35" s="16">
        <f>SUM(G35:T35)</f>
        <v>1128724.8</v>
      </c>
    </row>
    <row r="36" spans="1:21" x14ac:dyDescent="0.45"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20"/>
      <c r="U36" s="6"/>
    </row>
    <row r="37" spans="1:21" ht="14.65" thickBot="1" x14ac:dyDescent="0.5"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20"/>
      <c r="U37" s="6"/>
    </row>
    <row r="38" spans="1:21" s="9" customFormat="1" ht="14.65" thickBot="1" x14ac:dyDescent="0.5">
      <c r="A38" s="33" t="s">
        <v>30</v>
      </c>
      <c r="B38" s="33"/>
      <c r="C38" s="33"/>
      <c r="D38" s="10"/>
      <c r="E38" s="10"/>
      <c r="F38" s="15"/>
      <c r="G38" s="15"/>
      <c r="H38" s="15">
        <v>177900</v>
      </c>
      <c r="I38" s="15">
        <f>H38</f>
        <v>177900</v>
      </c>
      <c r="J38" s="15">
        <f>I38</f>
        <v>177900</v>
      </c>
      <c r="K38" s="15">
        <v>213480</v>
      </c>
      <c r="L38" s="15">
        <f>K38</f>
        <v>213480</v>
      </c>
      <c r="M38" s="15">
        <f>L38</f>
        <v>213480</v>
      </c>
      <c r="N38" s="15">
        <v>249060</v>
      </c>
      <c r="O38" s="15">
        <f>N38</f>
        <v>249060</v>
      </c>
      <c r="P38" s="15">
        <f>O38</f>
        <v>249060</v>
      </c>
      <c r="Q38" s="15">
        <v>284640</v>
      </c>
      <c r="R38" s="15">
        <f>Q38</f>
        <v>284640</v>
      </c>
      <c r="S38" s="15">
        <f>R38</f>
        <v>284640</v>
      </c>
      <c r="T38" s="22"/>
      <c r="U38" s="16">
        <f>SUM(H38:S38)</f>
        <v>2775240</v>
      </c>
    </row>
    <row r="39" spans="1:21" x14ac:dyDescent="0.45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20"/>
      <c r="U39" s="6"/>
    </row>
    <row r="40" spans="1:21" ht="14.65" thickBot="1" x14ac:dyDescent="0.5"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20"/>
      <c r="U40" s="6"/>
    </row>
    <row r="41" spans="1:21" ht="14.65" thickBot="1" x14ac:dyDescent="0.5">
      <c r="A41" s="33" t="s">
        <v>31</v>
      </c>
      <c r="B41" s="33"/>
      <c r="C41" s="33"/>
      <c r="D41" s="10"/>
      <c r="E41" s="10"/>
      <c r="F41" s="15"/>
      <c r="G41" s="15"/>
      <c r="H41" s="15">
        <f>H38-H35</f>
        <v>56339.600000000006</v>
      </c>
      <c r="I41" s="15">
        <f>I38-I35</f>
        <v>106339.6</v>
      </c>
      <c r="J41" s="15">
        <f>J38-J35</f>
        <v>56339.600000000006</v>
      </c>
      <c r="K41" s="15">
        <f>K38-K35</f>
        <v>141919.6</v>
      </c>
      <c r="L41" s="15">
        <f>L38-L35</f>
        <v>91919.6</v>
      </c>
      <c r="M41" s="15">
        <f>M38-M35</f>
        <v>141919.6</v>
      </c>
      <c r="N41" s="15">
        <f t="shared" ref="N41:S41" si="14">N38-N35</f>
        <v>127499.6</v>
      </c>
      <c r="O41" s="15">
        <f t="shared" si="14"/>
        <v>177499.6</v>
      </c>
      <c r="P41" s="15">
        <f t="shared" si="14"/>
        <v>127499.6</v>
      </c>
      <c r="Q41" s="15">
        <f t="shared" si="14"/>
        <v>213079.6</v>
      </c>
      <c r="R41" s="15">
        <f t="shared" si="14"/>
        <v>213079.6</v>
      </c>
      <c r="S41" s="15">
        <f t="shared" si="14"/>
        <v>213079.6</v>
      </c>
      <c r="T41" s="22"/>
      <c r="U41" s="16">
        <f>U38-U35</f>
        <v>1646515.2</v>
      </c>
    </row>
    <row r="44" spans="1:21" x14ac:dyDescent="0.45">
      <c r="T44" s="23"/>
    </row>
    <row r="47" spans="1:21" x14ac:dyDescent="0.45">
      <c r="C47" s="1" t="s">
        <v>38</v>
      </c>
      <c r="D47" s="28">
        <f>SUM(G35:J35)</f>
        <v>334681.19999999995</v>
      </c>
      <c r="E47" s="28"/>
    </row>
    <row r="49" spans="3:5" x14ac:dyDescent="0.45">
      <c r="C49" s="1" t="s">
        <v>39</v>
      </c>
      <c r="D49" s="29">
        <f>U41/U35</f>
        <v>1.4587392781659443</v>
      </c>
      <c r="E49" s="29"/>
    </row>
    <row r="53" spans="3:5" x14ac:dyDescent="0.45">
      <c r="D53" s="6"/>
      <c r="E53" s="6"/>
    </row>
    <row r="54" spans="3:5" x14ac:dyDescent="0.45">
      <c r="D54" s="30"/>
      <c r="E54" s="30"/>
    </row>
    <row r="55" spans="3:5" x14ac:dyDescent="0.45">
      <c r="D55" s="28"/>
      <c r="E55" s="28"/>
    </row>
  </sheetData>
  <mergeCells count="6">
    <mergeCell ref="T3:T6"/>
    <mergeCell ref="T12:T13"/>
    <mergeCell ref="U20:U23"/>
    <mergeCell ref="A35:C35"/>
    <mergeCell ref="A38:C38"/>
    <mergeCell ref="A41:C4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Needs</vt:lpstr>
      <vt:lpstr>Rev. MDL Forcasting</vt:lpstr>
      <vt:lpstr>KickOff_Year 01</vt:lpstr>
      <vt:lpstr>2nd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2026-08-21T20:22:38Z</dcterms:modified>
</cp:coreProperties>
</file>